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d86f4c4235b3d4/Ambiente de Trabalho/"/>
    </mc:Choice>
  </mc:AlternateContent>
  <xr:revisionPtr revIDLastSave="1" documentId="13_ncr:1_{7E0F2005-DF6E-40C0-9C93-8221048890F4}" xr6:coauthVersionLast="47" xr6:coauthVersionMax="47" xr10:uidLastSave="{3053A298-C34D-4149-A172-2D795742F02F}"/>
  <bookViews>
    <workbookView xWindow="-120" yWindow="-120" windowWidth="20730" windowHeight="11160" xr2:uid="{D8FF8A19-0028-4E1D-A2A2-6D0CCA1913CC}"/>
  </bookViews>
  <sheets>
    <sheet name="Exercício 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C36" i="1" s="1"/>
  <c r="C59" i="1"/>
  <c r="C49" i="1"/>
  <c r="C43" i="1"/>
  <c r="E86" i="1"/>
  <c r="E85" i="1"/>
  <c r="E84" i="1"/>
  <c r="E83" i="1"/>
  <c r="E82" i="1"/>
  <c r="E81" i="1"/>
  <c r="E80" i="1"/>
  <c r="C73" i="1"/>
  <c r="C86" i="1" s="1"/>
  <c r="C72" i="1"/>
  <c r="C75" i="1"/>
  <c r="C74" i="1"/>
  <c r="C69" i="1"/>
  <c r="C81" i="1" s="1"/>
  <c r="C70" i="1"/>
  <c r="C83" i="1" s="1"/>
  <c r="C64" i="1"/>
  <c r="C65" i="1" s="1"/>
  <c r="C79" i="1" s="1"/>
  <c r="F83" i="1" l="1"/>
  <c r="C82" i="1"/>
  <c r="F81" i="1"/>
  <c r="C66" i="1"/>
  <c r="D66" i="1" s="1"/>
  <c r="C67" i="1"/>
  <c r="D67" i="1" s="1"/>
  <c r="F86" i="1"/>
  <c r="F82" i="1"/>
  <c r="C55" i="1"/>
  <c r="E55" i="1" s="1"/>
  <c r="C61" i="1" s="1"/>
  <c r="C52" i="1"/>
  <c r="C71" i="1" s="1"/>
  <c r="C68" i="1"/>
  <c r="C80" i="1" s="1"/>
  <c r="F80" i="1" s="1"/>
  <c r="C45" i="1"/>
  <c r="D45" i="1" s="1"/>
  <c r="C41" i="1"/>
  <c r="C85" i="1" l="1"/>
  <c r="F85" i="1" s="1"/>
  <c r="C84" i="1"/>
  <c r="F84" i="1" s="1"/>
  <c r="C44" i="1"/>
  <c r="D44" i="1" s="1"/>
  <c r="C50" i="1"/>
  <c r="E50" i="1" s="1"/>
  <c r="D36" i="1"/>
  <c r="C53" i="1"/>
  <c r="E53" i="1" s="1"/>
  <c r="C60" i="1" s="1"/>
  <c r="C37" i="1"/>
  <c r="D37" i="1" s="1"/>
</calcChain>
</file>

<file path=xl/sharedStrings.xml><?xml version="1.0" encoding="utf-8"?>
<sst xmlns="http://schemas.openxmlformats.org/spreadsheetml/2006/main" count="119" uniqueCount="76">
  <si>
    <t>W</t>
  </si>
  <si>
    <t>V</t>
  </si>
  <si>
    <t>A</t>
  </si>
  <si>
    <t>N =</t>
  </si>
  <si>
    <t>Escolha do módulo FV</t>
  </si>
  <si>
    <t xml:space="preserve">Dimensionamento de UPAC </t>
  </si>
  <si>
    <r>
      <t>P</t>
    </r>
    <r>
      <rPr>
        <b/>
        <vertAlign val="subscript"/>
        <sz val="12"/>
        <color indexed="8"/>
        <rFont val="Verdana"/>
        <family val="2"/>
      </rPr>
      <t>MPP</t>
    </r>
    <r>
      <rPr>
        <b/>
        <sz val="12"/>
        <color indexed="8"/>
        <rFont val="Verdana"/>
        <family val="2"/>
      </rPr>
      <t xml:space="preserve"> =</t>
    </r>
  </si>
  <si>
    <r>
      <t>U</t>
    </r>
    <r>
      <rPr>
        <b/>
        <vertAlign val="subscript"/>
        <sz val="12"/>
        <color indexed="8"/>
        <rFont val="Verdana"/>
        <family val="2"/>
      </rPr>
      <t>MPP</t>
    </r>
    <r>
      <rPr>
        <b/>
        <sz val="12"/>
        <color indexed="8"/>
        <rFont val="Verdana"/>
        <family val="2"/>
      </rPr>
      <t xml:space="preserve"> =</t>
    </r>
  </si>
  <si>
    <r>
      <t>I</t>
    </r>
    <r>
      <rPr>
        <b/>
        <vertAlign val="subscript"/>
        <sz val="12"/>
        <color indexed="8"/>
        <rFont val="Verdana"/>
        <family val="2"/>
      </rPr>
      <t>MPP</t>
    </r>
    <r>
      <rPr>
        <b/>
        <sz val="12"/>
        <color indexed="8"/>
        <rFont val="Verdana"/>
        <family val="2"/>
      </rPr>
      <t xml:space="preserve"> =</t>
    </r>
  </si>
  <si>
    <t>Moódulo:</t>
  </si>
  <si>
    <r>
      <t>Coef. Temp. U</t>
    </r>
    <r>
      <rPr>
        <b/>
        <vertAlign val="subscript"/>
        <sz val="12"/>
        <color theme="1"/>
        <rFont val="Verdana"/>
        <family val="2"/>
      </rPr>
      <t>OC</t>
    </r>
    <r>
      <rPr>
        <b/>
        <sz val="12"/>
        <color theme="1"/>
        <rFont val="Verdana"/>
        <family val="2"/>
      </rPr>
      <t xml:space="preserve"> =</t>
    </r>
  </si>
  <si>
    <r>
      <t>U</t>
    </r>
    <r>
      <rPr>
        <b/>
        <vertAlign val="subscript"/>
        <sz val="12"/>
        <color theme="1"/>
        <rFont val="Verdana"/>
        <family val="2"/>
      </rPr>
      <t>máx</t>
    </r>
    <r>
      <rPr>
        <b/>
        <sz val="12"/>
        <color theme="1"/>
        <rFont val="Verdana"/>
        <family val="2"/>
      </rPr>
      <t xml:space="preserve"> Sistema FV =</t>
    </r>
  </si>
  <si>
    <t>STC</t>
  </si>
  <si>
    <r>
      <t>T</t>
    </r>
    <r>
      <rPr>
        <b/>
        <vertAlign val="subscript"/>
        <sz val="12"/>
        <color indexed="8"/>
        <rFont val="Verdana"/>
        <family val="2"/>
      </rPr>
      <t>UC</t>
    </r>
    <r>
      <rPr>
        <b/>
        <sz val="12"/>
        <color indexed="8"/>
        <rFont val="Verdana"/>
        <family val="2"/>
      </rPr>
      <t xml:space="preserve"> =</t>
    </r>
  </si>
  <si>
    <t>ºC</t>
  </si>
  <si>
    <t>NOCT</t>
  </si>
  <si>
    <t>Inversor:</t>
  </si>
  <si>
    <r>
      <t>U</t>
    </r>
    <r>
      <rPr>
        <b/>
        <vertAlign val="subscript"/>
        <sz val="12"/>
        <color indexed="8"/>
        <rFont val="Verdana"/>
        <family val="2"/>
      </rPr>
      <t xml:space="preserve">OC </t>
    </r>
    <r>
      <rPr>
        <b/>
        <sz val="12"/>
        <color indexed="8"/>
        <rFont val="Verdana"/>
        <family val="2"/>
      </rPr>
      <t>=</t>
    </r>
  </si>
  <si>
    <r>
      <t>I</t>
    </r>
    <r>
      <rPr>
        <b/>
        <vertAlign val="subscript"/>
        <sz val="12"/>
        <color indexed="8"/>
        <rFont val="Verdana"/>
        <family val="2"/>
      </rPr>
      <t>Máx</t>
    </r>
    <r>
      <rPr>
        <b/>
        <sz val="12"/>
        <color indexed="8"/>
        <rFont val="Verdana"/>
        <family val="2"/>
      </rPr>
      <t xml:space="preserve"> =</t>
    </r>
  </si>
  <si>
    <r>
      <t>P</t>
    </r>
    <r>
      <rPr>
        <b/>
        <vertAlign val="subscript"/>
        <sz val="12"/>
        <color theme="1"/>
        <rFont val="Verdana"/>
        <family val="2"/>
      </rPr>
      <t>Máx</t>
    </r>
    <r>
      <rPr>
        <b/>
        <sz val="12"/>
        <color theme="1"/>
        <rFont val="Verdana"/>
        <family val="2"/>
      </rPr>
      <t xml:space="preserve"> =</t>
    </r>
  </si>
  <si>
    <t>N.º Vias =</t>
  </si>
  <si>
    <t>N.º Trackers MPP =</t>
  </si>
  <si>
    <r>
      <t>Gama U</t>
    </r>
    <r>
      <rPr>
        <b/>
        <vertAlign val="subscript"/>
        <sz val="12"/>
        <color indexed="8"/>
        <rFont val="Verdana"/>
        <family val="2"/>
      </rPr>
      <t>MPP</t>
    </r>
    <r>
      <rPr>
        <b/>
        <sz val="12"/>
        <color indexed="8"/>
        <rFont val="Verdana"/>
        <family val="2"/>
      </rPr>
      <t xml:space="preserve"> =</t>
    </r>
  </si>
  <si>
    <t>DC</t>
  </si>
  <si>
    <r>
      <t>P</t>
    </r>
    <r>
      <rPr>
        <b/>
        <vertAlign val="subscript"/>
        <sz val="12"/>
        <color theme="1"/>
        <rFont val="Verdana"/>
        <family val="2"/>
      </rPr>
      <t>n</t>
    </r>
    <r>
      <rPr>
        <b/>
        <sz val="12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</si>
  <si>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2"/>
        <color indexed="8"/>
        <rFont val="Verdana"/>
        <family val="2"/>
      </rPr>
      <t>n</t>
    </r>
    <r>
      <rPr>
        <b/>
        <sz val="12"/>
        <color indexed="8"/>
        <rFont val="Verdana"/>
        <family val="2"/>
      </rPr>
      <t xml:space="preserve"> =</t>
    </r>
  </si>
  <si>
    <r>
      <t>f</t>
    </r>
    <r>
      <rPr>
        <b/>
        <sz val="12"/>
        <color indexed="8"/>
        <rFont val="Verdana"/>
        <family val="2"/>
      </rPr>
      <t xml:space="preserve"> =</t>
    </r>
  </si>
  <si>
    <t>Hz</t>
  </si>
  <si>
    <r>
      <t>η</t>
    </r>
    <r>
      <rPr>
        <b/>
        <vertAlign val="subscript"/>
        <sz val="12"/>
        <color theme="1"/>
        <rFont val="Verdana"/>
        <family val="2"/>
      </rPr>
      <t>Máx</t>
    </r>
    <r>
      <rPr>
        <b/>
        <sz val="12"/>
        <color indexed="8"/>
        <rFont val="Verdana"/>
        <family val="2"/>
      </rPr>
      <t xml:space="preserve"> =</t>
    </r>
  </si>
  <si>
    <r>
      <t>η</t>
    </r>
    <r>
      <rPr>
        <b/>
        <vertAlign val="subscript"/>
        <sz val="12"/>
        <color theme="1"/>
        <rFont val="Verdana"/>
        <family val="2"/>
      </rPr>
      <t>Europeu</t>
    </r>
    <r>
      <rPr>
        <b/>
        <sz val="12"/>
        <color indexed="8"/>
        <rFont val="Verdana"/>
        <family val="2"/>
      </rPr>
      <t xml:space="preserve"> =</t>
    </r>
  </si>
  <si>
    <t>%</t>
  </si>
  <si>
    <t>AC</t>
  </si>
  <si>
    <t>Alimentação:</t>
  </si>
  <si>
    <t>Monof.</t>
  </si>
  <si>
    <r>
      <t>Potência estimada do gerador FV - P</t>
    </r>
    <r>
      <rPr>
        <b/>
        <vertAlign val="subscript"/>
        <sz val="12"/>
        <color theme="1"/>
        <rFont val="Verdana"/>
        <family val="2"/>
      </rPr>
      <t>GFV</t>
    </r>
  </si>
  <si>
    <r>
      <t>P</t>
    </r>
    <r>
      <rPr>
        <b/>
        <vertAlign val="subscript"/>
        <sz val="12"/>
        <color theme="1"/>
        <rFont val="Verdana"/>
        <family val="2"/>
      </rPr>
      <t>GFV</t>
    </r>
    <r>
      <rPr>
        <b/>
        <sz val="12"/>
        <color theme="1"/>
        <rFont val="Verdana"/>
        <family val="2"/>
      </rPr>
      <t xml:space="preserve"> =</t>
    </r>
  </si>
  <si>
    <r>
      <t>P</t>
    </r>
    <r>
      <rPr>
        <b/>
        <vertAlign val="subscript"/>
        <sz val="12"/>
        <color theme="1"/>
        <rFont val="Verdana"/>
        <family val="2"/>
      </rPr>
      <t>AC</t>
    </r>
    <r>
      <rPr>
        <b/>
        <sz val="12"/>
        <color theme="1"/>
        <rFont val="Verdana"/>
        <family val="2"/>
      </rPr>
      <t xml:space="preserve"> (kW) =</t>
    </r>
  </si>
  <si>
    <r>
      <t>η</t>
    </r>
    <r>
      <rPr>
        <b/>
        <vertAlign val="subscript"/>
        <sz val="12"/>
        <color theme="1"/>
        <rFont val="Verdana"/>
        <family val="2"/>
      </rPr>
      <t>Módulo FV</t>
    </r>
    <r>
      <rPr>
        <b/>
        <sz val="12"/>
        <color indexed="8"/>
        <rFont val="Verdana"/>
        <family val="2"/>
      </rPr>
      <t xml:space="preserve"> =</t>
    </r>
  </si>
  <si>
    <r>
      <t>W</t>
    </r>
    <r>
      <rPr>
        <vertAlign val="subscript"/>
        <sz val="12"/>
        <color theme="1"/>
        <rFont val="Verdana"/>
        <family val="2"/>
      </rPr>
      <t>P</t>
    </r>
  </si>
  <si>
    <r>
      <t>P</t>
    </r>
    <r>
      <rPr>
        <b/>
        <vertAlign val="subscript"/>
        <sz val="12"/>
        <color theme="1"/>
        <rFont val="Verdana"/>
        <family val="2"/>
      </rPr>
      <t>GFV</t>
    </r>
    <r>
      <rPr>
        <b/>
        <sz val="12"/>
        <color theme="1"/>
        <rFont val="Verdana"/>
        <family val="2"/>
      </rPr>
      <t xml:space="preserve"> / P</t>
    </r>
    <r>
      <rPr>
        <b/>
        <vertAlign val="subscript"/>
        <sz val="12"/>
        <color theme="1"/>
        <rFont val="Verdana"/>
        <family val="2"/>
      </rPr>
      <t>AC</t>
    </r>
    <r>
      <rPr>
        <b/>
        <sz val="12"/>
        <color theme="1"/>
        <rFont val="Verdana"/>
        <family val="2"/>
      </rPr>
      <t xml:space="preserve"> =</t>
    </r>
  </si>
  <si>
    <r>
      <t>P</t>
    </r>
    <r>
      <rPr>
        <b/>
        <vertAlign val="subscript"/>
        <sz val="12"/>
        <color theme="1"/>
        <rFont val="Verdana"/>
        <family val="2"/>
      </rPr>
      <t>GFV</t>
    </r>
    <r>
      <rPr>
        <b/>
        <sz val="12"/>
        <color theme="1"/>
        <rFont val="Verdana"/>
        <family val="2"/>
      </rPr>
      <t xml:space="preserve"> / P</t>
    </r>
    <r>
      <rPr>
        <b/>
        <vertAlign val="subscript"/>
        <sz val="12"/>
        <color theme="1"/>
        <rFont val="Verdana"/>
        <family val="2"/>
      </rPr>
      <t>máx DC INV</t>
    </r>
    <r>
      <rPr>
        <b/>
        <sz val="12"/>
        <color theme="1"/>
        <rFont val="Verdana"/>
        <family val="2"/>
      </rPr>
      <t xml:space="preserve"> =</t>
    </r>
  </si>
  <si>
    <t>Número estimado de módulos do gerador FV</t>
  </si>
  <si>
    <t>Dimensionamento do gerador FV</t>
  </si>
  <si>
    <t>T (ºC) =</t>
  </si>
  <si>
    <r>
      <t>U</t>
    </r>
    <r>
      <rPr>
        <b/>
        <vertAlign val="subscript"/>
        <sz val="12"/>
        <color indexed="8"/>
        <rFont val="Verdana"/>
        <family val="2"/>
      </rPr>
      <t xml:space="preserve">OC (-10 ºC) </t>
    </r>
    <r>
      <rPr>
        <b/>
        <sz val="12"/>
        <color indexed="8"/>
        <rFont val="Verdana"/>
        <family val="2"/>
      </rPr>
      <t>=</t>
    </r>
  </si>
  <si>
    <r>
      <t>N</t>
    </r>
    <r>
      <rPr>
        <b/>
        <vertAlign val="subscript"/>
        <sz val="12"/>
        <color theme="1"/>
        <rFont val="Verdana"/>
        <family val="2"/>
      </rPr>
      <t>Mín Módulos Fileira</t>
    </r>
    <r>
      <rPr>
        <b/>
        <sz val="12"/>
        <color theme="1"/>
        <rFont val="Verdana"/>
        <family val="2"/>
      </rPr>
      <t xml:space="preserve"> =</t>
    </r>
  </si>
  <si>
    <r>
      <t>N</t>
    </r>
    <r>
      <rPr>
        <b/>
        <vertAlign val="subscript"/>
        <sz val="12"/>
        <color theme="1"/>
        <rFont val="Verdana"/>
        <family val="2"/>
      </rPr>
      <t>Máx Módulos Fileira</t>
    </r>
    <r>
      <rPr>
        <b/>
        <sz val="12"/>
        <color theme="1"/>
        <rFont val="Verdana"/>
        <family val="2"/>
      </rPr>
      <t xml:space="preserve"> =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</si>
  <si>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MPP (70 ºC) </t>
    </r>
    <r>
      <rPr>
        <b/>
        <sz val="12"/>
        <color indexed="8"/>
        <rFont val="Verdana"/>
        <family val="2"/>
      </rPr>
      <t>=</t>
    </r>
  </si>
  <si>
    <r>
      <t>N</t>
    </r>
    <r>
      <rPr>
        <b/>
        <vertAlign val="subscript"/>
        <sz val="12"/>
        <color theme="1"/>
        <rFont val="Verdana"/>
        <family val="2"/>
      </rPr>
      <t>Fileiras</t>
    </r>
    <r>
      <rPr>
        <b/>
        <sz val="12"/>
        <color theme="1"/>
        <rFont val="Verdana"/>
        <family val="2"/>
      </rPr>
      <t xml:space="preserve"> =</t>
    </r>
  </si>
  <si>
    <r>
      <t>N</t>
    </r>
    <r>
      <rPr>
        <b/>
        <vertAlign val="subscript"/>
        <sz val="12"/>
        <color theme="1"/>
        <rFont val="Verdana"/>
        <family val="2"/>
      </rPr>
      <t>máx Fileiras</t>
    </r>
    <r>
      <rPr>
        <b/>
        <sz val="12"/>
        <color theme="1"/>
        <rFont val="Verdana"/>
        <family val="2"/>
      </rPr>
      <t xml:space="preserve"> =</t>
    </r>
  </si>
  <si>
    <t>Configuração do gerador FV</t>
  </si>
  <si>
    <t>Escolha do inversor FV</t>
  </si>
  <si>
    <r>
      <t>N</t>
    </r>
    <r>
      <rPr>
        <b/>
        <vertAlign val="subscript"/>
        <sz val="12"/>
        <color theme="1"/>
        <rFont val="Verdana"/>
        <family val="2"/>
      </rPr>
      <t>Módulos Fileira</t>
    </r>
    <r>
      <rPr>
        <b/>
        <sz val="12"/>
        <color theme="1"/>
        <rFont val="Verdana"/>
        <family val="2"/>
      </rPr>
      <t xml:space="preserve"> =</t>
    </r>
  </si>
  <si>
    <r>
      <t>N</t>
    </r>
    <r>
      <rPr>
        <b/>
        <vertAlign val="subscript"/>
        <sz val="12"/>
        <color theme="1"/>
        <rFont val="Verdana"/>
        <family val="2"/>
      </rPr>
      <t>Módulos Total</t>
    </r>
    <r>
      <rPr>
        <b/>
        <sz val="12"/>
        <color theme="1"/>
        <rFont val="Verdana"/>
        <family val="2"/>
      </rPr>
      <t xml:space="preserve"> =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</si>
  <si>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MPP Fileira (70 ºC) </t>
    </r>
    <r>
      <rPr>
        <b/>
        <sz val="12"/>
        <color indexed="8"/>
        <rFont val="Verdana"/>
        <family val="2"/>
      </rPr>
      <t>=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</si>
  <si>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OC Fileira (-10 ºC) </t>
    </r>
    <r>
      <rPr>
        <b/>
        <sz val="12"/>
        <color indexed="8"/>
        <rFont val="Verdana"/>
        <family val="2"/>
      </rPr>
      <t>=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</si>
  <si>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OC Fileira (STC) </t>
    </r>
    <r>
      <rPr>
        <b/>
        <sz val="12"/>
        <color indexed="8"/>
        <rFont val="Verdana"/>
        <family val="2"/>
      </rPr>
      <t>=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</si>
  <si>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MPP Fileira (STC) </t>
    </r>
    <r>
      <rPr>
        <b/>
        <sz val="12"/>
        <color indexed="8"/>
        <rFont val="Verdana"/>
        <family val="2"/>
      </rPr>
      <t>=</t>
    </r>
  </si>
  <si>
    <r>
      <t>I</t>
    </r>
    <r>
      <rPr>
        <b/>
        <vertAlign val="subscript"/>
        <sz val="12"/>
        <color indexed="8"/>
        <rFont val="Verdana"/>
        <family val="2"/>
      </rPr>
      <t>SC Fileira (STC)</t>
    </r>
    <r>
      <rPr>
        <b/>
        <sz val="12"/>
        <color indexed="8"/>
        <rFont val="Verdana"/>
        <family val="2"/>
      </rPr>
      <t xml:space="preserve"> =</t>
    </r>
  </si>
  <si>
    <r>
      <t>I</t>
    </r>
    <r>
      <rPr>
        <b/>
        <vertAlign val="subscript"/>
        <sz val="12"/>
        <color indexed="8"/>
        <rFont val="Verdana"/>
        <family val="2"/>
      </rPr>
      <t>SC</t>
    </r>
    <r>
      <rPr>
        <b/>
        <sz val="12"/>
        <color indexed="8"/>
        <rFont val="Verdana"/>
        <family val="2"/>
      </rPr>
      <t xml:space="preserve"> =</t>
    </r>
  </si>
  <si>
    <r>
      <t>I</t>
    </r>
    <r>
      <rPr>
        <b/>
        <vertAlign val="subscript"/>
        <sz val="12"/>
        <color indexed="8"/>
        <rFont val="Verdana"/>
        <family val="2"/>
      </rPr>
      <t>MPP Fileira (STC)</t>
    </r>
    <r>
      <rPr>
        <b/>
        <sz val="12"/>
        <color indexed="8"/>
        <rFont val="Verdana"/>
        <family val="2"/>
      </rPr>
      <t xml:space="preserve"> =</t>
    </r>
  </si>
  <si>
    <r>
      <t>I</t>
    </r>
    <r>
      <rPr>
        <b/>
        <vertAlign val="subscript"/>
        <sz val="12"/>
        <color indexed="8"/>
        <rFont val="Verdana"/>
        <family val="2"/>
      </rPr>
      <t>MPP Cabo Principal (STC)</t>
    </r>
    <r>
      <rPr>
        <b/>
        <sz val="12"/>
        <color indexed="8"/>
        <rFont val="Verdana"/>
        <family val="2"/>
      </rPr>
      <t xml:space="preserve"> =</t>
    </r>
  </si>
  <si>
    <r>
      <t>I</t>
    </r>
    <r>
      <rPr>
        <b/>
        <vertAlign val="subscript"/>
        <sz val="12"/>
        <color indexed="8"/>
        <rFont val="Verdana"/>
        <family val="2"/>
      </rPr>
      <t>SC Cabo Principal (STC)</t>
    </r>
    <r>
      <rPr>
        <b/>
        <sz val="12"/>
        <color indexed="8"/>
        <rFont val="Verdana"/>
        <family val="2"/>
      </rPr>
      <t xml:space="preserve"> =</t>
    </r>
  </si>
  <si>
    <t>Análise à configuração do gerador FV</t>
  </si>
  <si>
    <t>&lt;</t>
  </si>
  <si>
    <r>
      <t>U</t>
    </r>
    <r>
      <rPr>
        <b/>
        <vertAlign val="subscript"/>
        <sz val="12"/>
        <color indexed="8"/>
        <rFont val="Verdana"/>
        <family val="2"/>
      </rPr>
      <t xml:space="preserve">MPP (STC) </t>
    </r>
    <r>
      <rPr>
        <b/>
        <sz val="12"/>
        <color rgb="FF000000"/>
        <rFont val="Verdana"/>
        <family val="2"/>
      </rPr>
      <t>&lt;</t>
    </r>
    <r>
      <rPr>
        <b/>
        <vertAlign val="subscript"/>
        <sz val="12"/>
        <color indexed="8"/>
        <rFont val="Verdana"/>
        <family val="2"/>
      </rPr>
      <t xml:space="preserve"> </t>
    </r>
    <r>
      <rPr>
        <b/>
        <sz val="12"/>
        <color rgb="FF000000"/>
        <rFont val="Verdana"/>
        <family val="2"/>
      </rPr>
      <t>U</t>
    </r>
    <r>
      <rPr>
        <b/>
        <vertAlign val="subscript"/>
        <sz val="12"/>
        <color rgb="FF000000"/>
        <rFont val="Verdana"/>
        <family val="2"/>
      </rPr>
      <t>MPP</t>
    </r>
    <r>
      <rPr>
        <b/>
        <sz val="12"/>
        <color rgb="FF000000"/>
        <rFont val="Verdana"/>
        <family val="2"/>
      </rPr>
      <t xml:space="preserve"> </t>
    </r>
    <r>
      <rPr>
        <b/>
        <vertAlign val="subscript"/>
        <sz val="12"/>
        <color indexed="8"/>
        <rFont val="Verdana"/>
        <family val="2"/>
      </rPr>
      <t>Máx Inv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</si>
  <si>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MPP (STC) </t>
    </r>
    <r>
      <rPr>
        <b/>
        <sz val="12"/>
        <color rgb="FF000000"/>
        <rFont val="Verdana"/>
        <family val="2"/>
      </rPr>
      <t>&gt;</t>
    </r>
    <r>
      <rPr>
        <b/>
        <vertAlign val="subscript"/>
        <sz val="12"/>
        <color indexed="8"/>
        <rFont val="Verdana"/>
        <family val="2"/>
      </rPr>
      <t xml:space="preserve"> </t>
    </r>
    <r>
      <rPr>
        <b/>
        <sz val="12"/>
        <color rgb="FF000000"/>
        <rFont val="Verdana"/>
        <family val="2"/>
      </rPr>
      <t>U</t>
    </r>
    <r>
      <rPr>
        <b/>
        <vertAlign val="subscript"/>
        <sz val="12"/>
        <color rgb="FF000000"/>
        <rFont val="Verdana"/>
        <family val="2"/>
      </rPr>
      <t>MPP</t>
    </r>
    <r>
      <rPr>
        <b/>
        <sz val="12"/>
        <color rgb="FF000000"/>
        <rFont val="Verdana"/>
        <family val="2"/>
      </rPr>
      <t xml:space="preserve"> </t>
    </r>
    <r>
      <rPr>
        <b/>
        <vertAlign val="subscript"/>
        <sz val="12"/>
        <color rgb="FF000000"/>
        <rFont val="Verdana"/>
        <family val="2"/>
      </rPr>
      <t>M</t>
    </r>
    <r>
      <rPr>
        <b/>
        <vertAlign val="subscript"/>
        <sz val="12"/>
        <color indexed="8"/>
        <rFont val="Verdana"/>
        <family val="2"/>
      </rPr>
      <t>ín Inv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</si>
  <si>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OC (-10 ºC) </t>
    </r>
    <r>
      <rPr>
        <b/>
        <sz val="12"/>
        <color rgb="FF000000"/>
        <rFont val="Verdana"/>
        <family val="2"/>
      </rPr>
      <t>&lt;</t>
    </r>
    <r>
      <rPr>
        <b/>
        <vertAlign val="subscript"/>
        <sz val="12"/>
        <color indexed="8"/>
        <rFont val="Verdana"/>
        <family val="2"/>
      </rPr>
      <t xml:space="preserve"> </t>
    </r>
    <r>
      <rPr>
        <b/>
        <sz val="12"/>
        <color rgb="FF000000"/>
        <rFont val="Verdana"/>
        <family val="2"/>
      </rPr>
      <t>U</t>
    </r>
    <r>
      <rPr>
        <b/>
        <vertAlign val="subscript"/>
        <sz val="12"/>
        <color indexed="8"/>
        <rFont val="Verdana"/>
        <family val="2"/>
      </rPr>
      <t>Máx Inv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</si>
  <si>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OC (STC) </t>
    </r>
    <r>
      <rPr>
        <b/>
        <sz val="12"/>
        <color rgb="FF000000"/>
        <rFont val="Verdana"/>
        <family val="2"/>
      </rPr>
      <t>&lt;</t>
    </r>
    <r>
      <rPr>
        <b/>
        <vertAlign val="subscript"/>
        <sz val="12"/>
        <color indexed="8"/>
        <rFont val="Verdana"/>
        <family val="2"/>
      </rPr>
      <t xml:space="preserve"> </t>
    </r>
    <r>
      <rPr>
        <b/>
        <sz val="12"/>
        <color rgb="FF000000"/>
        <rFont val="Verdana"/>
        <family val="2"/>
      </rPr>
      <t>U</t>
    </r>
    <r>
      <rPr>
        <b/>
        <vertAlign val="subscript"/>
        <sz val="12"/>
        <color indexed="8"/>
        <rFont val="Verdana"/>
        <family val="2"/>
      </rPr>
      <t>Máx Inv</t>
    </r>
  </si>
  <si>
    <t>&gt;</t>
  </si>
  <si>
    <r>
      <t>U</t>
    </r>
    <r>
      <rPr>
        <b/>
        <vertAlign val="subscript"/>
        <sz val="12"/>
        <color indexed="8"/>
        <rFont val="Verdana"/>
        <family val="2"/>
      </rPr>
      <t xml:space="preserve">MPP (70 ºC) </t>
    </r>
    <r>
      <rPr>
        <b/>
        <sz val="12"/>
        <color rgb="FF000000"/>
        <rFont val="Verdana"/>
        <family val="2"/>
      </rPr>
      <t>&lt;</t>
    </r>
    <r>
      <rPr>
        <b/>
        <vertAlign val="subscript"/>
        <sz val="12"/>
        <color indexed="8"/>
        <rFont val="Verdana"/>
        <family val="2"/>
      </rPr>
      <t xml:space="preserve"> </t>
    </r>
    <r>
      <rPr>
        <b/>
        <sz val="12"/>
        <color rgb="FF000000"/>
        <rFont val="Verdana"/>
        <family val="2"/>
      </rPr>
      <t>U</t>
    </r>
    <r>
      <rPr>
        <b/>
        <vertAlign val="subscript"/>
        <sz val="12"/>
        <color rgb="FF000000"/>
        <rFont val="Verdana"/>
        <family val="2"/>
      </rPr>
      <t>MPP</t>
    </r>
    <r>
      <rPr>
        <b/>
        <sz val="12"/>
        <color rgb="FF000000"/>
        <rFont val="Verdana"/>
        <family val="2"/>
      </rPr>
      <t xml:space="preserve"> </t>
    </r>
    <r>
      <rPr>
        <b/>
        <vertAlign val="subscript"/>
        <sz val="12"/>
        <color indexed="8"/>
        <rFont val="Verdana"/>
        <family val="2"/>
      </rPr>
      <t>Máx Inv</t>
    </r>
  </si>
  <si>
    <r>
      <t>U</t>
    </r>
    <r>
      <rPr>
        <b/>
        <vertAlign val="subscript"/>
        <sz val="12"/>
        <color indexed="8"/>
        <rFont val="Verdana"/>
        <family val="2"/>
      </rPr>
      <t xml:space="preserve">MPP (70 ºC) </t>
    </r>
    <r>
      <rPr>
        <b/>
        <sz val="12"/>
        <color rgb="FF000000"/>
        <rFont val="Verdana"/>
        <family val="2"/>
      </rPr>
      <t>&gt;</t>
    </r>
    <r>
      <rPr>
        <b/>
        <vertAlign val="subscript"/>
        <sz val="12"/>
        <color indexed="8"/>
        <rFont val="Verdana"/>
        <family val="2"/>
      </rPr>
      <t xml:space="preserve"> </t>
    </r>
    <r>
      <rPr>
        <b/>
        <sz val="12"/>
        <color rgb="FF000000"/>
        <rFont val="Verdana"/>
        <family val="2"/>
      </rPr>
      <t>U</t>
    </r>
    <r>
      <rPr>
        <b/>
        <vertAlign val="subscript"/>
        <sz val="12"/>
        <color rgb="FF000000"/>
        <rFont val="Verdana"/>
        <family val="2"/>
      </rPr>
      <t>MPP</t>
    </r>
    <r>
      <rPr>
        <b/>
        <sz val="12"/>
        <color rgb="FF000000"/>
        <rFont val="Verdana"/>
        <family val="2"/>
      </rPr>
      <t xml:space="preserve"> </t>
    </r>
    <r>
      <rPr>
        <b/>
        <vertAlign val="subscript"/>
        <sz val="12"/>
        <color rgb="FF000000"/>
        <rFont val="Verdana"/>
        <family val="2"/>
      </rPr>
      <t>M</t>
    </r>
    <r>
      <rPr>
        <b/>
        <vertAlign val="subscript"/>
        <sz val="12"/>
        <color indexed="8"/>
        <rFont val="Verdana"/>
        <family val="2"/>
      </rPr>
      <t>ín Inv</t>
    </r>
  </si>
  <si>
    <r>
      <t>I</t>
    </r>
    <r>
      <rPr>
        <b/>
        <vertAlign val="subscript"/>
        <sz val="12"/>
        <color indexed="8"/>
        <rFont val="Verdana"/>
        <family val="2"/>
      </rPr>
      <t>MPP Fileira (STC)</t>
    </r>
    <r>
      <rPr>
        <b/>
        <sz val="12"/>
        <color indexed="8"/>
        <rFont val="Verdana"/>
        <family val="2"/>
      </rPr>
      <t xml:space="preserve"> &lt; I</t>
    </r>
    <r>
      <rPr>
        <b/>
        <vertAlign val="subscript"/>
        <sz val="12"/>
        <color rgb="FF000000"/>
        <rFont val="Verdana"/>
        <family val="2"/>
      </rPr>
      <t>Máx DC Inv</t>
    </r>
  </si>
  <si>
    <t>JASolar 450</t>
  </si>
  <si>
    <t>%/C</t>
  </si>
  <si>
    <t>Huawei SUN-2000-3KTL-L1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</si>
</sst>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b/>
      <vertAlign val="subscript"/>
      <sz val="12"/>
      <color indexed="8"/>
      <name val="Verdana"/>
      <family val="2"/>
    </font>
    <font>
      <b/>
      <sz val="12"/>
      <color indexed="8"/>
      <name val="Verdana"/>
      <family val="2"/>
    </font>
    <font>
      <b/>
      <vertAlign val="subscript"/>
      <sz val="12"/>
      <color theme="1"/>
      <name val="Verdana"/>
      <family val="2"/>
    </font>
    <font>
      <b/>
      <sz val="12"/>
      <name val="Verdana"/>
      <family val="2"/>
    </font>
    <font>
      <b/>
      <sz val="12"/>
      <color rgb="FF000000"/>
      <name val="Verdana"/>
      <family val="2"/>
    </font>
    <font>
      <b/>
      <vertAlign val="subscript"/>
      <sz val="12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10" fontId="4" fillId="0" borderId="0" xfId="1" applyNumberFormat="1" applyFont="1" applyAlignment="1">
      <alignment horizontal="center" vertical="center" wrapText="1"/>
    </xf>
    <xf numFmtId="4" fontId="4" fillId="6" borderId="0" xfId="0" applyNumberFormat="1" applyFont="1" applyFill="1" applyAlignment="1">
      <alignment horizontal="center" vertical="center" wrapText="1"/>
    </xf>
    <xf numFmtId="2" fontId="4" fillId="6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" fontId="4" fillId="6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108239</xdr:colOff>
      <xdr:row>49</xdr:row>
      <xdr:rowOff>121228</xdr:rowOff>
    </xdr:from>
    <xdr:to>
      <xdr:col>3</xdr:col>
      <xdr:colOff>662608</xdr:colOff>
      <xdr:row>49</xdr:row>
      <xdr:rowOff>124239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A88175C5-C5B6-40D4-9195-099500543B68}"/>
            </a:ext>
          </a:extLst>
        </xdr:cNvPr>
        <xdr:cNvCxnSpPr/>
      </xdr:nvCxnSpPr>
      <xdr:spPr>
        <a:xfrm>
          <a:off x="2870489" y="10308648"/>
          <a:ext cx="554369" cy="30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108239</xdr:colOff>
      <xdr:row>52</xdr:row>
      <xdr:rowOff>121228</xdr:rowOff>
    </xdr:from>
    <xdr:to>
      <xdr:col>3</xdr:col>
      <xdr:colOff>662608</xdr:colOff>
      <xdr:row>52</xdr:row>
      <xdr:rowOff>124239</xdr:rowOff>
    </xdr:to>
    <xdr:cxnSp macro="">
      <xdr:nvCxnSpPr>
        <xdr:cNvPr id="5" name="Conexão reta unidirecional 4">
          <a:extLst>
            <a:ext uri="{FF2B5EF4-FFF2-40B4-BE49-F238E27FC236}">
              <a16:creationId xmlns:a16="http://schemas.microsoft.com/office/drawing/2014/main" id="{FA93DA8E-53E1-4377-BEE4-71DAA05CF6D8}"/>
            </a:ext>
          </a:extLst>
        </xdr:cNvPr>
        <xdr:cNvCxnSpPr/>
      </xdr:nvCxnSpPr>
      <xdr:spPr>
        <a:xfrm>
          <a:off x="2867205" y="10447642"/>
          <a:ext cx="554369" cy="30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105103</xdr:colOff>
      <xdr:row>54</xdr:row>
      <xdr:rowOff>118242</xdr:rowOff>
    </xdr:from>
    <xdr:to>
      <xdr:col>3</xdr:col>
      <xdr:colOff>659472</xdr:colOff>
      <xdr:row>54</xdr:row>
      <xdr:rowOff>121253</xdr:rowOff>
    </xdr:to>
    <xdr:cxnSp macro="">
      <xdr:nvCxnSpPr>
        <xdr:cNvPr id="6" name="Conexão reta unidirecional 5">
          <a:extLst>
            <a:ext uri="{FF2B5EF4-FFF2-40B4-BE49-F238E27FC236}">
              <a16:creationId xmlns:a16="http://schemas.microsoft.com/office/drawing/2014/main" id="{459E3F9C-0347-4D8C-ACAD-4BE9F5F2CB54}"/>
            </a:ext>
          </a:extLst>
        </xdr:cNvPr>
        <xdr:cNvCxnSpPr/>
      </xdr:nvCxnSpPr>
      <xdr:spPr>
        <a:xfrm>
          <a:off x="2864069" y="11311759"/>
          <a:ext cx="554369" cy="30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201355</xdr:colOff>
      <xdr:row>34</xdr:row>
      <xdr:rowOff>12566</xdr:rowOff>
    </xdr:from>
    <xdr:to>
      <xdr:col>11</xdr:col>
      <xdr:colOff>577371</xdr:colOff>
      <xdr:row>36</xdr:row>
      <xdr:rowOff>53324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C168021-F019-4EE2-8847-1A44B0C2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0907" y="7356669"/>
          <a:ext cx="2819671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72259</xdr:colOff>
      <xdr:row>40</xdr:row>
      <xdr:rowOff>26277</xdr:rowOff>
    </xdr:from>
    <xdr:to>
      <xdr:col>9</xdr:col>
      <xdr:colOff>585181</xdr:colOff>
      <xdr:row>42</xdr:row>
      <xdr:rowOff>67036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D0B57B2-4659-4893-8B14-83B1526B7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1811" y="8487105"/>
          <a:ext cx="1734749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78828</xdr:colOff>
      <xdr:row>47</xdr:row>
      <xdr:rowOff>6569</xdr:rowOff>
    </xdr:from>
    <xdr:to>
      <xdr:col>12</xdr:col>
      <xdr:colOff>451866</xdr:colOff>
      <xdr:row>52</xdr:row>
      <xdr:rowOff>219465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7959440-9AA1-415E-BCA5-A600DFF8E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8380" y="10024241"/>
          <a:ext cx="3427607" cy="108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59123</xdr:colOff>
      <xdr:row>46</xdr:row>
      <xdr:rowOff>177362</xdr:rowOff>
    </xdr:from>
    <xdr:to>
      <xdr:col>15</xdr:col>
      <xdr:colOff>515152</xdr:colOff>
      <xdr:row>49</xdr:row>
      <xdr:rowOff>159000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DA35DEB-8D87-4A42-8569-8524A6D65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54157" y="9945414"/>
          <a:ext cx="1677857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45983</xdr:colOff>
      <xdr:row>50</xdr:row>
      <xdr:rowOff>1</xdr:rowOff>
    </xdr:from>
    <xdr:to>
      <xdr:col>15</xdr:col>
      <xdr:colOff>348529</xdr:colOff>
      <xdr:row>52</xdr:row>
      <xdr:rowOff>231259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EDAD0BD-508E-47AD-8159-A6E1D78E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41017" y="10576035"/>
          <a:ext cx="1524374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26277</xdr:colOff>
      <xdr:row>53</xdr:row>
      <xdr:rowOff>32845</xdr:rowOff>
    </xdr:from>
    <xdr:to>
      <xdr:col>16</xdr:col>
      <xdr:colOff>109878</xdr:colOff>
      <xdr:row>56</xdr:row>
      <xdr:rowOff>204983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F4206CF-1343-41F8-B0C4-A6E73A53D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21311" y="11167242"/>
          <a:ext cx="1916343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7B38-2D98-442E-B6DC-5EFE1A002736}">
  <dimension ref="A1:G87"/>
  <sheetViews>
    <sheetView tabSelected="1" zoomScaleNormal="100" workbookViewId="0">
      <selection activeCell="G11" sqref="G11"/>
    </sheetView>
  </sheetViews>
  <sheetFormatPr defaultRowHeight="20.100000000000001" customHeight="1" x14ac:dyDescent="0.25"/>
  <cols>
    <col min="1" max="1" width="3.85546875" style="1" bestFit="1" customWidth="1"/>
    <col min="2" max="2" width="31.5703125" style="1" customWidth="1"/>
    <col min="3" max="3" width="11.7109375" style="1" customWidth="1"/>
    <col min="4" max="4" width="11.7109375" style="1" bestFit="1" customWidth="1"/>
    <col min="5" max="5" width="11.7109375" style="1" customWidth="1"/>
    <col min="6" max="6" width="15.42578125" style="1" customWidth="1"/>
    <col min="7" max="7" width="13.42578125" style="1" customWidth="1"/>
    <col min="8" max="256" width="9.140625" style="1"/>
    <col min="257" max="257" width="3.85546875" style="1" bestFit="1" customWidth="1"/>
    <col min="258" max="258" width="22.7109375" style="1" customWidth="1"/>
    <col min="259" max="259" width="11.42578125" style="1" customWidth="1"/>
    <col min="260" max="260" width="10.85546875" style="1" customWidth="1"/>
    <col min="261" max="261" width="17.42578125" style="1" bestFit="1" customWidth="1"/>
    <col min="262" max="262" width="16" style="1" customWidth="1"/>
    <col min="263" max="263" width="18" style="1" bestFit="1" customWidth="1"/>
    <col min="264" max="512" width="9.140625" style="1"/>
    <col min="513" max="513" width="3.85546875" style="1" bestFit="1" customWidth="1"/>
    <col min="514" max="514" width="22.7109375" style="1" customWidth="1"/>
    <col min="515" max="515" width="11.42578125" style="1" customWidth="1"/>
    <col min="516" max="516" width="10.85546875" style="1" customWidth="1"/>
    <col min="517" max="517" width="17.42578125" style="1" bestFit="1" customWidth="1"/>
    <col min="518" max="518" width="16" style="1" customWidth="1"/>
    <col min="519" max="519" width="18" style="1" bestFit="1" customWidth="1"/>
    <col min="520" max="768" width="9.140625" style="1"/>
    <col min="769" max="769" width="3.85546875" style="1" bestFit="1" customWidth="1"/>
    <col min="770" max="770" width="22.7109375" style="1" customWidth="1"/>
    <col min="771" max="771" width="11.42578125" style="1" customWidth="1"/>
    <col min="772" max="772" width="10.85546875" style="1" customWidth="1"/>
    <col min="773" max="773" width="17.42578125" style="1" bestFit="1" customWidth="1"/>
    <col min="774" max="774" width="16" style="1" customWidth="1"/>
    <col min="775" max="775" width="18" style="1" bestFit="1" customWidth="1"/>
    <col min="776" max="1024" width="9.140625" style="1"/>
    <col min="1025" max="1025" width="3.85546875" style="1" bestFit="1" customWidth="1"/>
    <col min="1026" max="1026" width="22.7109375" style="1" customWidth="1"/>
    <col min="1027" max="1027" width="11.42578125" style="1" customWidth="1"/>
    <col min="1028" max="1028" width="10.85546875" style="1" customWidth="1"/>
    <col min="1029" max="1029" width="17.42578125" style="1" bestFit="1" customWidth="1"/>
    <col min="1030" max="1030" width="16" style="1" customWidth="1"/>
    <col min="1031" max="1031" width="18" style="1" bestFit="1" customWidth="1"/>
    <col min="1032" max="1280" width="9.140625" style="1"/>
    <col min="1281" max="1281" width="3.85546875" style="1" bestFit="1" customWidth="1"/>
    <col min="1282" max="1282" width="22.7109375" style="1" customWidth="1"/>
    <col min="1283" max="1283" width="11.42578125" style="1" customWidth="1"/>
    <col min="1284" max="1284" width="10.85546875" style="1" customWidth="1"/>
    <col min="1285" max="1285" width="17.42578125" style="1" bestFit="1" customWidth="1"/>
    <col min="1286" max="1286" width="16" style="1" customWidth="1"/>
    <col min="1287" max="1287" width="18" style="1" bestFit="1" customWidth="1"/>
    <col min="1288" max="1536" width="9.140625" style="1"/>
    <col min="1537" max="1537" width="3.85546875" style="1" bestFit="1" customWidth="1"/>
    <col min="1538" max="1538" width="22.7109375" style="1" customWidth="1"/>
    <col min="1539" max="1539" width="11.42578125" style="1" customWidth="1"/>
    <col min="1540" max="1540" width="10.85546875" style="1" customWidth="1"/>
    <col min="1541" max="1541" width="17.42578125" style="1" bestFit="1" customWidth="1"/>
    <col min="1542" max="1542" width="16" style="1" customWidth="1"/>
    <col min="1543" max="1543" width="18" style="1" bestFit="1" customWidth="1"/>
    <col min="1544" max="1792" width="9.140625" style="1"/>
    <col min="1793" max="1793" width="3.85546875" style="1" bestFit="1" customWidth="1"/>
    <col min="1794" max="1794" width="22.7109375" style="1" customWidth="1"/>
    <col min="1795" max="1795" width="11.42578125" style="1" customWidth="1"/>
    <col min="1796" max="1796" width="10.85546875" style="1" customWidth="1"/>
    <col min="1797" max="1797" width="17.42578125" style="1" bestFit="1" customWidth="1"/>
    <col min="1798" max="1798" width="16" style="1" customWidth="1"/>
    <col min="1799" max="1799" width="18" style="1" bestFit="1" customWidth="1"/>
    <col min="1800" max="2048" width="9.140625" style="1"/>
    <col min="2049" max="2049" width="3.85546875" style="1" bestFit="1" customWidth="1"/>
    <col min="2050" max="2050" width="22.7109375" style="1" customWidth="1"/>
    <col min="2051" max="2051" width="11.42578125" style="1" customWidth="1"/>
    <col min="2052" max="2052" width="10.85546875" style="1" customWidth="1"/>
    <col min="2053" max="2053" width="17.42578125" style="1" bestFit="1" customWidth="1"/>
    <col min="2054" max="2054" width="16" style="1" customWidth="1"/>
    <col min="2055" max="2055" width="18" style="1" bestFit="1" customWidth="1"/>
    <col min="2056" max="2304" width="9.140625" style="1"/>
    <col min="2305" max="2305" width="3.85546875" style="1" bestFit="1" customWidth="1"/>
    <col min="2306" max="2306" width="22.7109375" style="1" customWidth="1"/>
    <col min="2307" max="2307" width="11.42578125" style="1" customWidth="1"/>
    <col min="2308" max="2308" width="10.85546875" style="1" customWidth="1"/>
    <col min="2309" max="2309" width="17.42578125" style="1" bestFit="1" customWidth="1"/>
    <col min="2310" max="2310" width="16" style="1" customWidth="1"/>
    <col min="2311" max="2311" width="18" style="1" bestFit="1" customWidth="1"/>
    <col min="2312" max="2560" width="9.140625" style="1"/>
    <col min="2561" max="2561" width="3.85546875" style="1" bestFit="1" customWidth="1"/>
    <col min="2562" max="2562" width="22.7109375" style="1" customWidth="1"/>
    <col min="2563" max="2563" width="11.42578125" style="1" customWidth="1"/>
    <col min="2564" max="2564" width="10.85546875" style="1" customWidth="1"/>
    <col min="2565" max="2565" width="17.42578125" style="1" bestFit="1" customWidth="1"/>
    <col min="2566" max="2566" width="16" style="1" customWidth="1"/>
    <col min="2567" max="2567" width="18" style="1" bestFit="1" customWidth="1"/>
    <col min="2568" max="2816" width="9.140625" style="1"/>
    <col min="2817" max="2817" width="3.85546875" style="1" bestFit="1" customWidth="1"/>
    <col min="2818" max="2818" width="22.7109375" style="1" customWidth="1"/>
    <col min="2819" max="2819" width="11.42578125" style="1" customWidth="1"/>
    <col min="2820" max="2820" width="10.85546875" style="1" customWidth="1"/>
    <col min="2821" max="2821" width="17.42578125" style="1" bestFit="1" customWidth="1"/>
    <col min="2822" max="2822" width="16" style="1" customWidth="1"/>
    <col min="2823" max="2823" width="18" style="1" bestFit="1" customWidth="1"/>
    <col min="2824" max="3072" width="9.140625" style="1"/>
    <col min="3073" max="3073" width="3.85546875" style="1" bestFit="1" customWidth="1"/>
    <col min="3074" max="3074" width="22.7109375" style="1" customWidth="1"/>
    <col min="3075" max="3075" width="11.42578125" style="1" customWidth="1"/>
    <col min="3076" max="3076" width="10.85546875" style="1" customWidth="1"/>
    <col min="3077" max="3077" width="17.42578125" style="1" bestFit="1" customWidth="1"/>
    <col min="3078" max="3078" width="16" style="1" customWidth="1"/>
    <col min="3079" max="3079" width="18" style="1" bestFit="1" customWidth="1"/>
    <col min="3080" max="3328" width="9.140625" style="1"/>
    <col min="3329" max="3329" width="3.85546875" style="1" bestFit="1" customWidth="1"/>
    <col min="3330" max="3330" width="22.7109375" style="1" customWidth="1"/>
    <col min="3331" max="3331" width="11.42578125" style="1" customWidth="1"/>
    <col min="3332" max="3332" width="10.85546875" style="1" customWidth="1"/>
    <col min="3333" max="3333" width="17.42578125" style="1" bestFit="1" customWidth="1"/>
    <col min="3334" max="3334" width="16" style="1" customWidth="1"/>
    <col min="3335" max="3335" width="18" style="1" bestFit="1" customWidth="1"/>
    <col min="3336" max="3584" width="9.140625" style="1"/>
    <col min="3585" max="3585" width="3.85546875" style="1" bestFit="1" customWidth="1"/>
    <col min="3586" max="3586" width="22.7109375" style="1" customWidth="1"/>
    <col min="3587" max="3587" width="11.42578125" style="1" customWidth="1"/>
    <col min="3588" max="3588" width="10.85546875" style="1" customWidth="1"/>
    <col min="3589" max="3589" width="17.42578125" style="1" bestFit="1" customWidth="1"/>
    <col min="3590" max="3590" width="16" style="1" customWidth="1"/>
    <col min="3591" max="3591" width="18" style="1" bestFit="1" customWidth="1"/>
    <col min="3592" max="3840" width="9.140625" style="1"/>
    <col min="3841" max="3841" width="3.85546875" style="1" bestFit="1" customWidth="1"/>
    <col min="3842" max="3842" width="22.7109375" style="1" customWidth="1"/>
    <col min="3843" max="3843" width="11.42578125" style="1" customWidth="1"/>
    <col min="3844" max="3844" width="10.85546875" style="1" customWidth="1"/>
    <col min="3845" max="3845" width="17.42578125" style="1" bestFit="1" customWidth="1"/>
    <col min="3846" max="3846" width="16" style="1" customWidth="1"/>
    <col min="3847" max="3847" width="18" style="1" bestFit="1" customWidth="1"/>
    <col min="3848" max="4096" width="9.140625" style="1"/>
    <col min="4097" max="4097" width="3.85546875" style="1" bestFit="1" customWidth="1"/>
    <col min="4098" max="4098" width="22.7109375" style="1" customWidth="1"/>
    <col min="4099" max="4099" width="11.42578125" style="1" customWidth="1"/>
    <col min="4100" max="4100" width="10.85546875" style="1" customWidth="1"/>
    <col min="4101" max="4101" width="17.42578125" style="1" bestFit="1" customWidth="1"/>
    <col min="4102" max="4102" width="16" style="1" customWidth="1"/>
    <col min="4103" max="4103" width="18" style="1" bestFit="1" customWidth="1"/>
    <col min="4104" max="4352" width="9.140625" style="1"/>
    <col min="4353" max="4353" width="3.85546875" style="1" bestFit="1" customWidth="1"/>
    <col min="4354" max="4354" width="22.7109375" style="1" customWidth="1"/>
    <col min="4355" max="4355" width="11.42578125" style="1" customWidth="1"/>
    <col min="4356" max="4356" width="10.85546875" style="1" customWidth="1"/>
    <col min="4357" max="4357" width="17.42578125" style="1" bestFit="1" customWidth="1"/>
    <col min="4358" max="4358" width="16" style="1" customWidth="1"/>
    <col min="4359" max="4359" width="18" style="1" bestFit="1" customWidth="1"/>
    <col min="4360" max="4608" width="9.140625" style="1"/>
    <col min="4609" max="4609" width="3.85546875" style="1" bestFit="1" customWidth="1"/>
    <col min="4610" max="4610" width="22.7109375" style="1" customWidth="1"/>
    <col min="4611" max="4611" width="11.42578125" style="1" customWidth="1"/>
    <col min="4612" max="4612" width="10.85546875" style="1" customWidth="1"/>
    <col min="4613" max="4613" width="17.42578125" style="1" bestFit="1" customWidth="1"/>
    <col min="4614" max="4614" width="16" style="1" customWidth="1"/>
    <col min="4615" max="4615" width="18" style="1" bestFit="1" customWidth="1"/>
    <col min="4616" max="4864" width="9.140625" style="1"/>
    <col min="4865" max="4865" width="3.85546875" style="1" bestFit="1" customWidth="1"/>
    <col min="4866" max="4866" width="22.7109375" style="1" customWidth="1"/>
    <col min="4867" max="4867" width="11.42578125" style="1" customWidth="1"/>
    <col min="4868" max="4868" width="10.85546875" style="1" customWidth="1"/>
    <col min="4869" max="4869" width="17.42578125" style="1" bestFit="1" customWidth="1"/>
    <col min="4870" max="4870" width="16" style="1" customWidth="1"/>
    <col min="4871" max="4871" width="18" style="1" bestFit="1" customWidth="1"/>
    <col min="4872" max="5120" width="9.140625" style="1"/>
    <col min="5121" max="5121" width="3.85546875" style="1" bestFit="1" customWidth="1"/>
    <col min="5122" max="5122" width="22.7109375" style="1" customWidth="1"/>
    <col min="5123" max="5123" width="11.42578125" style="1" customWidth="1"/>
    <col min="5124" max="5124" width="10.85546875" style="1" customWidth="1"/>
    <col min="5125" max="5125" width="17.42578125" style="1" bestFit="1" customWidth="1"/>
    <col min="5126" max="5126" width="16" style="1" customWidth="1"/>
    <col min="5127" max="5127" width="18" style="1" bestFit="1" customWidth="1"/>
    <col min="5128" max="5376" width="9.140625" style="1"/>
    <col min="5377" max="5377" width="3.85546875" style="1" bestFit="1" customWidth="1"/>
    <col min="5378" max="5378" width="22.7109375" style="1" customWidth="1"/>
    <col min="5379" max="5379" width="11.42578125" style="1" customWidth="1"/>
    <col min="5380" max="5380" width="10.85546875" style="1" customWidth="1"/>
    <col min="5381" max="5381" width="17.42578125" style="1" bestFit="1" customWidth="1"/>
    <col min="5382" max="5382" width="16" style="1" customWidth="1"/>
    <col min="5383" max="5383" width="18" style="1" bestFit="1" customWidth="1"/>
    <col min="5384" max="5632" width="9.140625" style="1"/>
    <col min="5633" max="5633" width="3.85546875" style="1" bestFit="1" customWidth="1"/>
    <col min="5634" max="5634" width="22.7109375" style="1" customWidth="1"/>
    <col min="5635" max="5635" width="11.42578125" style="1" customWidth="1"/>
    <col min="5636" max="5636" width="10.85546875" style="1" customWidth="1"/>
    <col min="5637" max="5637" width="17.42578125" style="1" bestFit="1" customWidth="1"/>
    <col min="5638" max="5638" width="16" style="1" customWidth="1"/>
    <col min="5639" max="5639" width="18" style="1" bestFit="1" customWidth="1"/>
    <col min="5640" max="5888" width="9.140625" style="1"/>
    <col min="5889" max="5889" width="3.85546875" style="1" bestFit="1" customWidth="1"/>
    <col min="5890" max="5890" width="22.7109375" style="1" customWidth="1"/>
    <col min="5891" max="5891" width="11.42578125" style="1" customWidth="1"/>
    <col min="5892" max="5892" width="10.85546875" style="1" customWidth="1"/>
    <col min="5893" max="5893" width="17.42578125" style="1" bestFit="1" customWidth="1"/>
    <col min="5894" max="5894" width="16" style="1" customWidth="1"/>
    <col min="5895" max="5895" width="18" style="1" bestFit="1" customWidth="1"/>
    <col min="5896" max="6144" width="9.140625" style="1"/>
    <col min="6145" max="6145" width="3.85546875" style="1" bestFit="1" customWidth="1"/>
    <col min="6146" max="6146" width="22.7109375" style="1" customWidth="1"/>
    <col min="6147" max="6147" width="11.42578125" style="1" customWidth="1"/>
    <col min="6148" max="6148" width="10.85546875" style="1" customWidth="1"/>
    <col min="6149" max="6149" width="17.42578125" style="1" bestFit="1" customWidth="1"/>
    <col min="6150" max="6150" width="16" style="1" customWidth="1"/>
    <col min="6151" max="6151" width="18" style="1" bestFit="1" customWidth="1"/>
    <col min="6152" max="6400" width="9.140625" style="1"/>
    <col min="6401" max="6401" width="3.85546875" style="1" bestFit="1" customWidth="1"/>
    <col min="6402" max="6402" width="22.7109375" style="1" customWidth="1"/>
    <col min="6403" max="6403" width="11.42578125" style="1" customWidth="1"/>
    <col min="6404" max="6404" width="10.85546875" style="1" customWidth="1"/>
    <col min="6405" max="6405" width="17.42578125" style="1" bestFit="1" customWidth="1"/>
    <col min="6406" max="6406" width="16" style="1" customWidth="1"/>
    <col min="6407" max="6407" width="18" style="1" bestFit="1" customWidth="1"/>
    <col min="6408" max="6656" width="9.140625" style="1"/>
    <col min="6657" max="6657" width="3.85546875" style="1" bestFit="1" customWidth="1"/>
    <col min="6658" max="6658" width="22.7109375" style="1" customWidth="1"/>
    <col min="6659" max="6659" width="11.42578125" style="1" customWidth="1"/>
    <col min="6660" max="6660" width="10.85546875" style="1" customWidth="1"/>
    <col min="6661" max="6661" width="17.42578125" style="1" bestFit="1" customWidth="1"/>
    <col min="6662" max="6662" width="16" style="1" customWidth="1"/>
    <col min="6663" max="6663" width="18" style="1" bestFit="1" customWidth="1"/>
    <col min="6664" max="6912" width="9.140625" style="1"/>
    <col min="6913" max="6913" width="3.85546875" style="1" bestFit="1" customWidth="1"/>
    <col min="6914" max="6914" width="22.7109375" style="1" customWidth="1"/>
    <col min="6915" max="6915" width="11.42578125" style="1" customWidth="1"/>
    <col min="6916" max="6916" width="10.85546875" style="1" customWidth="1"/>
    <col min="6917" max="6917" width="17.42578125" style="1" bestFit="1" customWidth="1"/>
    <col min="6918" max="6918" width="16" style="1" customWidth="1"/>
    <col min="6919" max="6919" width="18" style="1" bestFit="1" customWidth="1"/>
    <col min="6920" max="7168" width="9.140625" style="1"/>
    <col min="7169" max="7169" width="3.85546875" style="1" bestFit="1" customWidth="1"/>
    <col min="7170" max="7170" width="22.7109375" style="1" customWidth="1"/>
    <col min="7171" max="7171" width="11.42578125" style="1" customWidth="1"/>
    <col min="7172" max="7172" width="10.85546875" style="1" customWidth="1"/>
    <col min="7173" max="7173" width="17.42578125" style="1" bestFit="1" customWidth="1"/>
    <col min="7174" max="7174" width="16" style="1" customWidth="1"/>
    <col min="7175" max="7175" width="18" style="1" bestFit="1" customWidth="1"/>
    <col min="7176" max="7424" width="9.140625" style="1"/>
    <col min="7425" max="7425" width="3.85546875" style="1" bestFit="1" customWidth="1"/>
    <col min="7426" max="7426" width="22.7109375" style="1" customWidth="1"/>
    <col min="7427" max="7427" width="11.42578125" style="1" customWidth="1"/>
    <col min="7428" max="7428" width="10.85546875" style="1" customWidth="1"/>
    <col min="7429" max="7429" width="17.42578125" style="1" bestFit="1" customWidth="1"/>
    <col min="7430" max="7430" width="16" style="1" customWidth="1"/>
    <col min="7431" max="7431" width="18" style="1" bestFit="1" customWidth="1"/>
    <col min="7432" max="7680" width="9.140625" style="1"/>
    <col min="7681" max="7681" width="3.85546875" style="1" bestFit="1" customWidth="1"/>
    <col min="7682" max="7682" width="22.7109375" style="1" customWidth="1"/>
    <col min="7683" max="7683" width="11.42578125" style="1" customWidth="1"/>
    <col min="7684" max="7684" width="10.85546875" style="1" customWidth="1"/>
    <col min="7685" max="7685" width="17.42578125" style="1" bestFit="1" customWidth="1"/>
    <col min="7686" max="7686" width="16" style="1" customWidth="1"/>
    <col min="7687" max="7687" width="18" style="1" bestFit="1" customWidth="1"/>
    <col min="7688" max="7936" width="9.140625" style="1"/>
    <col min="7937" max="7937" width="3.85546875" style="1" bestFit="1" customWidth="1"/>
    <col min="7938" max="7938" width="22.7109375" style="1" customWidth="1"/>
    <col min="7939" max="7939" width="11.42578125" style="1" customWidth="1"/>
    <col min="7940" max="7940" width="10.85546875" style="1" customWidth="1"/>
    <col min="7941" max="7941" width="17.42578125" style="1" bestFit="1" customWidth="1"/>
    <col min="7942" max="7942" width="16" style="1" customWidth="1"/>
    <col min="7943" max="7943" width="18" style="1" bestFit="1" customWidth="1"/>
    <col min="7944" max="8192" width="9.140625" style="1"/>
    <col min="8193" max="8193" width="3.85546875" style="1" bestFit="1" customWidth="1"/>
    <col min="8194" max="8194" width="22.7109375" style="1" customWidth="1"/>
    <col min="8195" max="8195" width="11.42578125" style="1" customWidth="1"/>
    <col min="8196" max="8196" width="10.85546875" style="1" customWidth="1"/>
    <col min="8197" max="8197" width="17.42578125" style="1" bestFit="1" customWidth="1"/>
    <col min="8198" max="8198" width="16" style="1" customWidth="1"/>
    <col min="8199" max="8199" width="18" style="1" bestFit="1" customWidth="1"/>
    <col min="8200" max="8448" width="9.140625" style="1"/>
    <col min="8449" max="8449" width="3.85546875" style="1" bestFit="1" customWidth="1"/>
    <col min="8450" max="8450" width="22.7109375" style="1" customWidth="1"/>
    <col min="8451" max="8451" width="11.42578125" style="1" customWidth="1"/>
    <col min="8452" max="8452" width="10.85546875" style="1" customWidth="1"/>
    <col min="8453" max="8453" width="17.42578125" style="1" bestFit="1" customWidth="1"/>
    <col min="8454" max="8454" width="16" style="1" customWidth="1"/>
    <col min="8455" max="8455" width="18" style="1" bestFit="1" customWidth="1"/>
    <col min="8456" max="8704" width="9.140625" style="1"/>
    <col min="8705" max="8705" width="3.85546875" style="1" bestFit="1" customWidth="1"/>
    <col min="8706" max="8706" width="22.7109375" style="1" customWidth="1"/>
    <col min="8707" max="8707" width="11.42578125" style="1" customWidth="1"/>
    <col min="8708" max="8708" width="10.85546875" style="1" customWidth="1"/>
    <col min="8709" max="8709" width="17.42578125" style="1" bestFit="1" customWidth="1"/>
    <col min="8710" max="8710" width="16" style="1" customWidth="1"/>
    <col min="8711" max="8711" width="18" style="1" bestFit="1" customWidth="1"/>
    <col min="8712" max="8960" width="9.140625" style="1"/>
    <col min="8961" max="8961" width="3.85546875" style="1" bestFit="1" customWidth="1"/>
    <col min="8962" max="8962" width="22.7109375" style="1" customWidth="1"/>
    <col min="8963" max="8963" width="11.42578125" style="1" customWidth="1"/>
    <col min="8964" max="8964" width="10.85546875" style="1" customWidth="1"/>
    <col min="8965" max="8965" width="17.42578125" style="1" bestFit="1" customWidth="1"/>
    <col min="8966" max="8966" width="16" style="1" customWidth="1"/>
    <col min="8967" max="8967" width="18" style="1" bestFit="1" customWidth="1"/>
    <col min="8968" max="9216" width="9.140625" style="1"/>
    <col min="9217" max="9217" width="3.85546875" style="1" bestFit="1" customWidth="1"/>
    <col min="9218" max="9218" width="22.7109375" style="1" customWidth="1"/>
    <col min="9219" max="9219" width="11.42578125" style="1" customWidth="1"/>
    <col min="9220" max="9220" width="10.85546875" style="1" customWidth="1"/>
    <col min="9221" max="9221" width="17.42578125" style="1" bestFit="1" customWidth="1"/>
    <col min="9222" max="9222" width="16" style="1" customWidth="1"/>
    <col min="9223" max="9223" width="18" style="1" bestFit="1" customWidth="1"/>
    <col min="9224" max="9472" width="9.140625" style="1"/>
    <col min="9473" max="9473" width="3.85546875" style="1" bestFit="1" customWidth="1"/>
    <col min="9474" max="9474" width="22.7109375" style="1" customWidth="1"/>
    <col min="9475" max="9475" width="11.42578125" style="1" customWidth="1"/>
    <col min="9476" max="9476" width="10.85546875" style="1" customWidth="1"/>
    <col min="9477" max="9477" width="17.42578125" style="1" bestFit="1" customWidth="1"/>
    <col min="9478" max="9478" width="16" style="1" customWidth="1"/>
    <col min="9479" max="9479" width="18" style="1" bestFit="1" customWidth="1"/>
    <col min="9480" max="9728" width="9.140625" style="1"/>
    <col min="9729" max="9729" width="3.85546875" style="1" bestFit="1" customWidth="1"/>
    <col min="9730" max="9730" width="22.7109375" style="1" customWidth="1"/>
    <col min="9731" max="9731" width="11.42578125" style="1" customWidth="1"/>
    <col min="9732" max="9732" width="10.85546875" style="1" customWidth="1"/>
    <col min="9733" max="9733" width="17.42578125" style="1" bestFit="1" customWidth="1"/>
    <col min="9734" max="9734" width="16" style="1" customWidth="1"/>
    <col min="9735" max="9735" width="18" style="1" bestFit="1" customWidth="1"/>
    <col min="9736" max="9984" width="9.140625" style="1"/>
    <col min="9985" max="9985" width="3.85546875" style="1" bestFit="1" customWidth="1"/>
    <col min="9986" max="9986" width="22.7109375" style="1" customWidth="1"/>
    <col min="9987" max="9987" width="11.42578125" style="1" customWidth="1"/>
    <col min="9988" max="9988" width="10.85546875" style="1" customWidth="1"/>
    <col min="9989" max="9989" width="17.42578125" style="1" bestFit="1" customWidth="1"/>
    <col min="9990" max="9990" width="16" style="1" customWidth="1"/>
    <col min="9991" max="9991" width="18" style="1" bestFit="1" customWidth="1"/>
    <col min="9992" max="10240" width="9.140625" style="1"/>
    <col min="10241" max="10241" width="3.85546875" style="1" bestFit="1" customWidth="1"/>
    <col min="10242" max="10242" width="22.7109375" style="1" customWidth="1"/>
    <col min="10243" max="10243" width="11.42578125" style="1" customWidth="1"/>
    <col min="10244" max="10244" width="10.85546875" style="1" customWidth="1"/>
    <col min="10245" max="10245" width="17.42578125" style="1" bestFit="1" customWidth="1"/>
    <col min="10246" max="10246" width="16" style="1" customWidth="1"/>
    <col min="10247" max="10247" width="18" style="1" bestFit="1" customWidth="1"/>
    <col min="10248" max="10496" width="9.140625" style="1"/>
    <col min="10497" max="10497" width="3.85546875" style="1" bestFit="1" customWidth="1"/>
    <col min="10498" max="10498" width="22.7109375" style="1" customWidth="1"/>
    <col min="10499" max="10499" width="11.42578125" style="1" customWidth="1"/>
    <col min="10500" max="10500" width="10.85546875" style="1" customWidth="1"/>
    <col min="10501" max="10501" width="17.42578125" style="1" bestFit="1" customWidth="1"/>
    <col min="10502" max="10502" width="16" style="1" customWidth="1"/>
    <col min="10503" max="10503" width="18" style="1" bestFit="1" customWidth="1"/>
    <col min="10504" max="10752" width="9.140625" style="1"/>
    <col min="10753" max="10753" width="3.85546875" style="1" bestFit="1" customWidth="1"/>
    <col min="10754" max="10754" width="22.7109375" style="1" customWidth="1"/>
    <col min="10755" max="10755" width="11.42578125" style="1" customWidth="1"/>
    <col min="10756" max="10756" width="10.85546875" style="1" customWidth="1"/>
    <col min="10757" max="10757" width="17.42578125" style="1" bestFit="1" customWidth="1"/>
    <col min="10758" max="10758" width="16" style="1" customWidth="1"/>
    <col min="10759" max="10759" width="18" style="1" bestFit="1" customWidth="1"/>
    <col min="10760" max="11008" width="9.140625" style="1"/>
    <col min="11009" max="11009" width="3.85546875" style="1" bestFit="1" customWidth="1"/>
    <col min="11010" max="11010" width="22.7109375" style="1" customWidth="1"/>
    <col min="11011" max="11011" width="11.42578125" style="1" customWidth="1"/>
    <col min="11012" max="11012" width="10.85546875" style="1" customWidth="1"/>
    <col min="11013" max="11013" width="17.42578125" style="1" bestFit="1" customWidth="1"/>
    <col min="11014" max="11014" width="16" style="1" customWidth="1"/>
    <col min="11015" max="11015" width="18" style="1" bestFit="1" customWidth="1"/>
    <col min="11016" max="11264" width="9.140625" style="1"/>
    <col min="11265" max="11265" width="3.85546875" style="1" bestFit="1" customWidth="1"/>
    <col min="11266" max="11266" width="22.7109375" style="1" customWidth="1"/>
    <col min="11267" max="11267" width="11.42578125" style="1" customWidth="1"/>
    <col min="11268" max="11268" width="10.85546875" style="1" customWidth="1"/>
    <col min="11269" max="11269" width="17.42578125" style="1" bestFit="1" customWidth="1"/>
    <col min="11270" max="11270" width="16" style="1" customWidth="1"/>
    <col min="11271" max="11271" width="18" style="1" bestFit="1" customWidth="1"/>
    <col min="11272" max="11520" width="9.140625" style="1"/>
    <col min="11521" max="11521" width="3.85546875" style="1" bestFit="1" customWidth="1"/>
    <col min="11522" max="11522" width="22.7109375" style="1" customWidth="1"/>
    <col min="11523" max="11523" width="11.42578125" style="1" customWidth="1"/>
    <col min="11524" max="11524" width="10.85546875" style="1" customWidth="1"/>
    <col min="11525" max="11525" width="17.42578125" style="1" bestFit="1" customWidth="1"/>
    <col min="11526" max="11526" width="16" style="1" customWidth="1"/>
    <col min="11527" max="11527" width="18" style="1" bestFit="1" customWidth="1"/>
    <col min="11528" max="11776" width="9.140625" style="1"/>
    <col min="11777" max="11777" width="3.85546875" style="1" bestFit="1" customWidth="1"/>
    <col min="11778" max="11778" width="22.7109375" style="1" customWidth="1"/>
    <col min="11779" max="11779" width="11.42578125" style="1" customWidth="1"/>
    <col min="11780" max="11780" width="10.85546875" style="1" customWidth="1"/>
    <col min="11781" max="11781" width="17.42578125" style="1" bestFit="1" customWidth="1"/>
    <col min="11782" max="11782" width="16" style="1" customWidth="1"/>
    <col min="11783" max="11783" width="18" style="1" bestFit="1" customWidth="1"/>
    <col min="11784" max="12032" width="9.140625" style="1"/>
    <col min="12033" max="12033" width="3.85546875" style="1" bestFit="1" customWidth="1"/>
    <col min="12034" max="12034" width="22.7109375" style="1" customWidth="1"/>
    <col min="12035" max="12035" width="11.42578125" style="1" customWidth="1"/>
    <col min="12036" max="12036" width="10.85546875" style="1" customWidth="1"/>
    <col min="12037" max="12037" width="17.42578125" style="1" bestFit="1" customWidth="1"/>
    <col min="12038" max="12038" width="16" style="1" customWidth="1"/>
    <col min="12039" max="12039" width="18" style="1" bestFit="1" customWidth="1"/>
    <col min="12040" max="12288" width="9.140625" style="1"/>
    <col min="12289" max="12289" width="3.85546875" style="1" bestFit="1" customWidth="1"/>
    <col min="12290" max="12290" width="22.7109375" style="1" customWidth="1"/>
    <col min="12291" max="12291" width="11.42578125" style="1" customWidth="1"/>
    <col min="12292" max="12292" width="10.85546875" style="1" customWidth="1"/>
    <col min="12293" max="12293" width="17.42578125" style="1" bestFit="1" customWidth="1"/>
    <col min="12294" max="12294" width="16" style="1" customWidth="1"/>
    <col min="12295" max="12295" width="18" style="1" bestFit="1" customWidth="1"/>
    <col min="12296" max="12544" width="9.140625" style="1"/>
    <col min="12545" max="12545" width="3.85546875" style="1" bestFit="1" customWidth="1"/>
    <col min="12546" max="12546" width="22.7109375" style="1" customWidth="1"/>
    <col min="12547" max="12547" width="11.42578125" style="1" customWidth="1"/>
    <col min="12548" max="12548" width="10.85546875" style="1" customWidth="1"/>
    <col min="12549" max="12549" width="17.42578125" style="1" bestFit="1" customWidth="1"/>
    <col min="12550" max="12550" width="16" style="1" customWidth="1"/>
    <col min="12551" max="12551" width="18" style="1" bestFit="1" customWidth="1"/>
    <col min="12552" max="12800" width="9.140625" style="1"/>
    <col min="12801" max="12801" width="3.85546875" style="1" bestFit="1" customWidth="1"/>
    <col min="12802" max="12802" width="22.7109375" style="1" customWidth="1"/>
    <col min="12803" max="12803" width="11.42578125" style="1" customWidth="1"/>
    <col min="12804" max="12804" width="10.85546875" style="1" customWidth="1"/>
    <col min="12805" max="12805" width="17.42578125" style="1" bestFit="1" customWidth="1"/>
    <col min="12806" max="12806" width="16" style="1" customWidth="1"/>
    <col min="12807" max="12807" width="18" style="1" bestFit="1" customWidth="1"/>
    <col min="12808" max="13056" width="9.140625" style="1"/>
    <col min="13057" max="13057" width="3.85546875" style="1" bestFit="1" customWidth="1"/>
    <col min="13058" max="13058" width="22.7109375" style="1" customWidth="1"/>
    <col min="13059" max="13059" width="11.42578125" style="1" customWidth="1"/>
    <col min="13060" max="13060" width="10.85546875" style="1" customWidth="1"/>
    <col min="13061" max="13061" width="17.42578125" style="1" bestFit="1" customWidth="1"/>
    <col min="13062" max="13062" width="16" style="1" customWidth="1"/>
    <col min="13063" max="13063" width="18" style="1" bestFit="1" customWidth="1"/>
    <col min="13064" max="13312" width="9.140625" style="1"/>
    <col min="13313" max="13313" width="3.85546875" style="1" bestFit="1" customWidth="1"/>
    <col min="13314" max="13314" width="22.7109375" style="1" customWidth="1"/>
    <col min="13315" max="13315" width="11.42578125" style="1" customWidth="1"/>
    <col min="13316" max="13316" width="10.85546875" style="1" customWidth="1"/>
    <col min="13317" max="13317" width="17.42578125" style="1" bestFit="1" customWidth="1"/>
    <col min="13318" max="13318" width="16" style="1" customWidth="1"/>
    <col min="13319" max="13319" width="18" style="1" bestFit="1" customWidth="1"/>
    <col min="13320" max="13568" width="9.140625" style="1"/>
    <col min="13569" max="13569" width="3.85546875" style="1" bestFit="1" customWidth="1"/>
    <col min="13570" max="13570" width="22.7109375" style="1" customWidth="1"/>
    <col min="13571" max="13571" width="11.42578125" style="1" customWidth="1"/>
    <col min="13572" max="13572" width="10.85546875" style="1" customWidth="1"/>
    <col min="13573" max="13573" width="17.42578125" style="1" bestFit="1" customWidth="1"/>
    <col min="13574" max="13574" width="16" style="1" customWidth="1"/>
    <col min="13575" max="13575" width="18" style="1" bestFit="1" customWidth="1"/>
    <col min="13576" max="13824" width="9.140625" style="1"/>
    <col min="13825" max="13825" width="3.85546875" style="1" bestFit="1" customWidth="1"/>
    <col min="13826" max="13826" width="22.7109375" style="1" customWidth="1"/>
    <col min="13827" max="13827" width="11.42578125" style="1" customWidth="1"/>
    <col min="13828" max="13828" width="10.85546875" style="1" customWidth="1"/>
    <col min="13829" max="13829" width="17.42578125" style="1" bestFit="1" customWidth="1"/>
    <col min="13830" max="13830" width="16" style="1" customWidth="1"/>
    <col min="13831" max="13831" width="18" style="1" bestFit="1" customWidth="1"/>
    <col min="13832" max="14080" width="9.140625" style="1"/>
    <col min="14081" max="14081" width="3.85546875" style="1" bestFit="1" customWidth="1"/>
    <col min="14082" max="14082" width="22.7109375" style="1" customWidth="1"/>
    <col min="14083" max="14083" width="11.42578125" style="1" customWidth="1"/>
    <col min="14084" max="14084" width="10.85546875" style="1" customWidth="1"/>
    <col min="14085" max="14085" width="17.42578125" style="1" bestFit="1" customWidth="1"/>
    <col min="14086" max="14086" width="16" style="1" customWidth="1"/>
    <col min="14087" max="14087" width="18" style="1" bestFit="1" customWidth="1"/>
    <col min="14088" max="14336" width="9.140625" style="1"/>
    <col min="14337" max="14337" width="3.85546875" style="1" bestFit="1" customWidth="1"/>
    <col min="14338" max="14338" width="22.7109375" style="1" customWidth="1"/>
    <col min="14339" max="14339" width="11.42578125" style="1" customWidth="1"/>
    <col min="14340" max="14340" width="10.85546875" style="1" customWidth="1"/>
    <col min="14341" max="14341" width="17.42578125" style="1" bestFit="1" customWidth="1"/>
    <col min="14342" max="14342" width="16" style="1" customWidth="1"/>
    <col min="14343" max="14343" width="18" style="1" bestFit="1" customWidth="1"/>
    <col min="14344" max="14592" width="9.140625" style="1"/>
    <col min="14593" max="14593" width="3.85546875" style="1" bestFit="1" customWidth="1"/>
    <col min="14594" max="14594" width="22.7109375" style="1" customWidth="1"/>
    <col min="14595" max="14595" width="11.42578125" style="1" customWidth="1"/>
    <col min="14596" max="14596" width="10.85546875" style="1" customWidth="1"/>
    <col min="14597" max="14597" width="17.42578125" style="1" bestFit="1" customWidth="1"/>
    <col min="14598" max="14598" width="16" style="1" customWidth="1"/>
    <col min="14599" max="14599" width="18" style="1" bestFit="1" customWidth="1"/>
    <col min="14600" max="14848" width="9.140625" style="1"/>
    <col min="14849" max="14849" width="3.85546875" style="1" bestFit="1" customWidth="1"/>
    <col min="14850" max="14850" width="22.7109375" style="1" customWidth="1"/>
    <col min="14851" max="14851" width="11.42578125" style="1" customWidth="1"/>
    <col min="14852" max="14852" width="10.85546875" style="1" customWidth="1"/>
    <col min="14853" max="14853" width="17.42578125" style="1" bestFit="1" customWidth="1"/>
    <col min="14854" max="14854" width="16" style="1" customWidth="1"/>
    <col min="14855" max="14855" width="18" style="1" bestFit="1" customWidth="1"/>
    <col min="14856" max="15104" width="9.140625" style="1"/>
    <col min="15105" max="15105" width="3.85546875" style="1" bestFit="1" customWidth="1"/>
    <col min="15106" max="15106" width="22.7109375" style="1" customWidth="1"/>
    <col min="15107" max="15107" width="11.42578125" style="1" customWidth="1"/>
    <col min="15108" max="15108" width="10.85546875" style="1" customWidth="1"/>
    <col min="15109" max="15109" width="17.42578125" style="1" bestFit="1" customWidth="1"/>
    <col min="15110" max="15110" width="16" style="1" customWidth="1"/>
    <col min="15111" max="15111" width="18" style="1" bestFit="1" customWidth="1"/>
    <col min="15112" max="15360" width="9.140625" style="1"/>
    <col min="15361" max="15361" width="3.85546875" style="1" bestFit="1" customWidth="1"/>
    <col min="15362" max="15362" width="22.7109375" style="1" customWidth="1"/>
    <col min="15363" max="15363" width="11.42578125" style="1" customWidth="1"/>
    <col min="15364" max="15364" width="10.85546875" style="1" customWidth="1"/>
    <col min="15365" max="15365" width="17.42578125" style="1" bestFit="1" customWidth="1"/>
    <col min="15366" max="15366" width="16" style="1" customWidth="1"/>
    <col min="15367" max="15367" width="18" style="1" bestFit="1" customWidth="1"/>
    <col min="15368" max="15616" width="9.140625" style="1"/>
    <col min="15617" max="15617" width="3.85546875" style="1" bestFit="1" customWidth="1"/>
    <col min="15618" max="15618" width="22.7109375" style="1" customWidth="1"/>
    <col min="15619" max="15619" width="11.42578125" style="1" customWidth="1"/>
    <col min="15620" max="15620" width="10.85546875" style="1" customWidth="1"/>
    <col min="15621" max="15621" width="17.42578125" style="1" bestFit="1" customWidth="1"/>
    <col min="15622" max="15622" width="16" style="1" customWidth="1"/>
    <col min="15623" max="15623" width="18" style="1" bestFit="1" customWidth="1"/>
    <col min="15624" max="15872" width="9.140625" style="1"/>
    <col min="15873" max="15873" width="3.85546875" style="1" bestFit="1" customWidth="1"/>
    <col min="15874" max="15874" width="22.7109375" style="1" customWidth="1"/>
    <col min="15875" max="15875" width="11.42578125" style="1" customWidth="1"/>
    <col min="15876" max="15876" width="10.85546875" style="1" customWidth="1"/>
    <col min="15877" max="15877" width="17.42578125" style="1" bestFit="1" customWidth="1"/>
    <col min="15878" max="15878" width="16" style="1" customWidth="1"/>
    <col min="15879" max="15879" width="18" style="1" bestFit="1" customWidth="1"/>
    <col min="15880" max="16128" width="9.140625" style="1"/>
    <col min="16129" max="16129" width="3.85546875" style="1" bestFit="1" customWidth="1"/>
    <col min="16130" max="16130" width="22.7109375" style="1" customWidth="1"/>
    <col min="16131" max="16131" width="11.42578125" style="1" customWidth="1"/>
    <col min="16132" max="16132" width="10.85546875" style="1" customWidth="1"/>
    <col min="16133" max="16133" width="17.42578125" style="1" bestFit="1" customWidth="1"/>
    <col min="16134" max="16134" width="16" style="1" customWidth="1"/>
    <col min="16135" max="16135" width="18" style="1" bestFit="1" customWidth="1"/>
    <col min="16136" max="16384" width="9.140625" style="1"/>
  </cols>
  <sheetData>
    <row r="1" spans="1:7" ht="20.100000000000001" customHeight="1" thickTop="1" thickBot="1" x14ac:dyDescent="0.3">
      <c r="A1" s="10">
        <v>1</v>
      </c>
      <c r="B1" s="29" t="s">
        <v>5</v>
      </c>
      <c r="C1" s="30"/>
      <c r="D1" s="30"/>
      <c r="E1" s="31"/>
      <c r="F1" s="16" t="s">
        <v>36</v>
      </c>
      <c r="G1" s="9">
        <v>3.1</v>
      </c>
    </row>
    <row r="2" spans="1:7" ht="5.0999999999999996" customHeight="1" thickTop="1" thickBot="1" x14ac:dyDescent="0.3">
      <c r="A2" s="7"/>
      <c r="B2" s="8"/>
      <c r="C2" s="8"/>
      <c r="D2" s="8"/>
      <c r="E2" s="8"/>
      <c r="F2" s="4"/>
      <c r="G2" s="4"/>
    </row>
    <row r="3" spans="1:7" ht="20.100000000000001" customHeight="1" thickTop="1" thickBot="1" x14ac:dyDescent="0.3">
      <c r="A3" s="11">
        <v>1</v>
      </c>
      <c r="B3" s="24" t="s">
        <v>4</v>
      </c>
      <c r="C3" s="24"/>
      <c r="D3" s="24"/>
      <c r="E3" s="24"/>
      <c r="F3" s="24"/>
      <c r="G3" s="25"/>
    </row>
    <row r="4" spans="1:7" ht="5.0999999999999996" customHeight="1" thickTop="1" x14ac:dyDescent="0.25">
      <c r="A4" s="12"/>
      <c r="B4" s="13"/>
      <c r="C4" s="13"/>
      <c r="D4" s="13"/>
      <c r="E4" s="13"/>
      <c r="F4" s="13"/>
      <c r="G4" s="13"/>
    </row>
    <row r="5" spans="1:7" ht="20.100000000000001" customHeight="1" x14ac:dyDescent="0.25">
      <c r="A5" s="4"/>
      <c r="B5" s="6" t="s">
        <v>9</v>
      </c>
      <c r="C5" s="32" t="s">
        <v>73</v>
      </c>
      <c r="D5" s="32"/>
      <c r="E5" s="32"/>
      <c r="F5" s="32"/>
      <c r="G5" s="32"/>
    </row>
    <row r="6" spans="1:7" ht="20.100000000000001" customHeight="1" x14ac:dyDescent="0.25">
      <c r="B6" s="5" t="s">
        <v>6</v>
      </c>
      <c r="C6" s="3">
        <v>450</v>
      </c>
      <c r="D6" s="1" t="s">
        <v>38</v>
      </c>
      <c r="E6" s="28" t="s">
        <v>12</v>
      </c>
    </row>
    <row r="7" spans="1:7" ht="20.100000000000001" customHeight="1" x14ac:dyDescent="0.25">
      <c r="B7" s="5" t="s">
        <v>7</v>
      </c>
      <c r="C7" s="3">
        <v>41.52</v>
      </c>
      <c r="D7" s="1" t="s">
        <v>1</v>
      </c>
      <c r="E7" s="28"/>
    </row>
    <row r="8" spans="1:7" ht="20.100000000000001" customHeight="1" x14ac:dyDescent="0.25">
      <c r="B8" s="5" t="s">
        <v>8</v>
      </c>
      <c r="C8" s="3">
        <v>11.36</v>
      </c>
      <c r="D8" s="1" t="s">
        <v>2</v>
      </c>
      <c r="E8" s="28"/>
    </row>
    <row r="9" spans="1:7" ht="20.100000000000001" customHeight="1" x14ac:dyDescent="0.25">
      <c r="B9" s="5" t="s">
        <v>17</v>
      </c>
      <c r="C9" s="3">
        <v>40.299999999999997</v>
      </c>
      <c r="D9" s="1" t="s">
        <v>1</v>
      </c>
      <c r="E9" s="28"/>
    </row>
    <row r="10" spans="1:7" ht="20.100000000000001" customHeight="1" x14ac:dyDescent="0.25">
      <c r="B10" s="5" t="s">
        <v>59</v>
      </c>
      <c r="C10" s="3">
        <v>9.25</v>
      </c>
      <c r="D10" s="1" t="s">
        <v>2</v>
      </c>
      <c r="E10" s="28"/>
    </row>
    <row r="11" spans="1:7" ht="20.100000000000001" customHeight="1" x14ac:dyDescent="0.25">
      <c r="B11" s="5" t="s">
        <v>11</v>
      </c>
      <c r="C11" s="3">
        <v>1000</v>
      </c>
      <c r="D11" s="1" t="s">
        <v>1</v>
      </c>
    </row>
    <row r="12" spans="1:7" ht="20.100000000000001" customHeight="1" x14ac:dyDescent="0.25">
      <c r="B12" s="5" t="s">
        <v>10</v>
      </c>
      <c r="C12" s="3">
        <v>-0.27</v>
      </c>
      <c r="D12" s="1" t="s">
        <v>74</v>
      </c>
    </row>
    <row r="13" spans="1:7" ht="20.100000000000001" customHeight="1" x14ac:dyDescent="0.25">
      <c r="B13" s="5" t="s">
        <v>13</v>
      </c>
      <c r="C13" s="3">
        <v>45</v>
      </c>
      <c r="D13" s="1" t="s">
        <v>14</v>
      </c>
      <c r="E13" s="2" t="s">
        <v>15</v>
      </c>
    </row>
    <row r="14" spans="1:7" ht="5.0999999999999996" customHeight="1" thickBot="1" x14ac:dyDescent="0.3"/>
    <row r="15" spans="1:7" ht="20.100000000000001" customHeight="1" thickTop="1" thickBot="1" x14ac:dyDescent="0.3">
      <c r="A15" s="11">
        <v>2</v>
      </c>
      <c r="B15" s="24" t="s">
        <v>51</v>
      </c>
      <c r="C15" s="24"/>
      <c r="D15" s="24"/>
      <c r="E15" s="24"/>
      <c r="F15" s="24"/>
      <c r="G15" s="25"/>
    </row>
    <row r="16" spans="1:7" ht="5.0999999999999996" customHeight="1" thickTop="1" x14ac:dyDescent="0.25"/>
    <row r="17" spans="2:7" ht="20.100000000000001" customHeight="1" x14ac:dyDescent="0.25">
      <c r="B17" s="5" t="s">
        <v>16</v>
      </c>
      <c r="C17" s="33" t="s">
        <v>75</v>
      </c>
      <c r="D17" s="33"/>
      <c r="E17" s="33"/>
      <c r="F17" s="33"/>
      <c r="G17" s="33"/>
    </row>
    <row r="18" spans="2:7" ht="20.100000000000001" customHeight="1" x14ac:dyDescent="0.25">
      <c r="B18" s="5" t="s">
        <v>19</v>
      </c>
      <c r="C18" s="15">
        <v>4500</v>
      </c>
      <c r="D18" s="1" t="s">
        <v>0</v>
      </c>
      <c r="E18" s="28" t="s">
        <v>23</v>
      </c>
    </row>
    <row r="19" spans="2:7" ht="20.100000000000001" customHeight="1" x14ac:dyDescent="0.25">
      <c r="B19" s="26" t="s">
        <v>22</v>
      </c>
      <c r="C19" s="15">
        <v>90</v>
      </c>
      <c r="D19" s="27" t="s">
        <v>1</v>
      </c>
      <c r="E19" s="28"/>
    </row>
    <row r="20" spans="2:7" ht="20.100000000000001" customHeight="1" x14ac:dyDescent="0.25">
      <c r="B20" s="26"/>
      <c r="C20" s="15">
        <v>560</v>
      </c>
      <c r="D20" s="27"/>
      <c r="E20" s="28"/>
    </row>
    <row r="21" spans="2:7" ht="20.100000000000001" customHeight="1" x14ac:dyDescent="0.25">
      <c r="B21" s="5" t="s">
        <v>17</v>
      </c>
      <c r="C21" s="15">
        <v>600</v>
      </c>
      <c r="D21" s="1" t="s">
        <v>1</v>
      </c>
      <c r="E21" s="28"/>
    </row>
    <row r="22" spans="2:7" ht="20.100000000000001" customHeight="1" x14ac:dyDescent="0.25">
      <c r="B22" s="5" t="s">
        <v>18</v>
      </c>
      <c r="C22" s="15">
        <v>12.5</v>
      </c>
      <c r="D22" s="1" t="s">
        <v>2</v>
      </c>
      <c r="E22" s="28"/>
    </row>
    <row r="23" spans="2:7" ht="20.100000000000001" customHeight="1" x14ac:dyDescent="0.25">
      <c r="B23" s="5" t="s">
        <v>20</v>
      </c>
      <c r="C23" s="15">
        <v>2</v>
      </c>
      <c r="E23" s="28"/>
    </row>
    <row r="24" spans="2:7" ht="20.100000000000001" customHeight="1" x14ac:dyDescent="0.25">
      <c r="B24" s="5" t="s">
        <v>21</v>
      </c>
      <c r="C24" s="15">
        <v>2</v>
      </c>
      <c r="E24" s="28"/>
    </row>
    <row r="25" spans="2:7" ht="20.100000000000001" customHeight="1" x14ac:dyDescent="0.25">
      <c r="B25" s="5" t="s">
        <v>24</v>
      </c>
      <c r="C25" s="15">
        <v>3000</v>
      </c>
      <c r="D25" s="1" t="s">
        <v>0</v>
      </c>
      <c r="E25" s="28" t="s">
        <v>31</v>
      </c>
    </row>
    <row r="26" spans="2:7" ht="20.100000000000001" customHeight="1" x14ac:dyDescent="0.25">
      <c r="B26" s="5" t="s">
        <v>19</v>
      </c>
      <c r="C26" s="15">
        <v>3300</v>
      </c>
      <c r="D26" s="1" t="s">
        <v>0</v>
      </c>
      <c r="E26" s="28"/>
    </row>
    <row r="27" spans="2:7" ht="20.100000000000001" customHeight="1" x14ac:dyDescent="0.25">
      <c r="B27" s="5" t="s">
        <v>25</v>
      </c>
      <c r="C27" s="15">
        <v>15</v>
      </c>
      <c r="D27" s="1" t="s">
        <v>2</v>
      </c>
      <c r="E27" s="28"/>
    </row>
    <row r="28" spans="2:7" ht="20.100000000000001" customHeight="1" x14ac:dyDescent="0.25">
      <c r="B28" s="5" t="s">
        <v>26</v>
      </c>
      <c r="C28" s="15">
        <v>50</v>
      </c>
      <c r="D28" s="1" t="s">
        <v>27</v>
      </c>
      <c r="E28" s="28"/>
    </row>
    <row r="29" spans="2:7" ht="20.100000000000001" customHeight="1" x14ac:dyDescent="0.25">
      <c r="B29" s="5" t="s">
        <v>32</v>
      </c>
      <c r="C29" s="15" t="s">
        <v>33</v>
      </c>
      <c r="E29" s="28"/>
    </row>
    <row r="30" spans="2:7" ht="20.100000000000001" customHeight="1" x14ac:dyDescent="0.25">
      <c r="B30" s="5" t="s">
        <v>28</v>
      </c>
      <c r="C30" s="15">
        <v>98.3</v>
      </c>
      <c r="D30" s="1" t="s">
        <v>30</v>
      </c>
    </row>
    <row r="31" spans="2:7" ht="20.100000000000001" customHeight="1" x14ac:dyDescent="0.25">
      <c r="B31" s="5" t="s">
        <v>29</v>
      </c>
      <c r="C31" s="15">
        <v>97.3</v>
      </c>
      <c r="D31" s="1" t="s">
        <v>30</v>
      </c>
    </row>
    <row r="32" spans="2:7" ht="5.0999999999999996" customHeight="1" thickBot="1" x14ac:dyDescent="0.3"/>
    <row r="33" spans="1:7" ht="20.100000000000001" customHeight="1" thickTop="1" thickBot="1" x14ac:dyDescent="0.3">
      <c r="A33" s="11">
        <v>3</v>
      </c>
      <c r="B33" s="24" t="s">
        <v>34</v>
      </c>
      <c r="C33" s="24"/>
      <c r="D33" s="24"/>
      <c r="E33" s="24"/>
      <c r="F33" s="24"/>
      <c r="G33" s="25"/>
    </row>
    <row r="34" spans="1:7" ht="5.0999999999999996" customHeight="1" thickTop="1" x14ac:dyDescent="0.25"/>
    <row r="35" spans="1:7" ht="20.100000000000001" customHeight="1" x14ac:dyDescent="0.25">
      <c r="B35" s="5" t="s">
        <v>35</v>
      </c>
      <c r="C35" s="18">
        <f>C25/(G35*(C30/100))</f>
        <v>3590.4494045838069</v>
      </c>
      <c r="D35" s="1" t="s">
        <v>38</v>
      </c>
      <c r="F35" s="5" t="s">
        <v>37</v>
      </c>
      <c r="G35" s="15">
        <v>0.85</v>
      </c>
    </row>
    <row r="36" spans="1:7" ht="20.100000000000001" customHeight="1" x14ac:dyDescent="0.25">
      <c r="B36" s="5" t="s">
        <v>39</v>
      </c>
      <c r="C36" s="19">
        <f>C35/C25</f>
        <v>1.1968164681946023</v>
      </c>
      <c r="D36" s="17">
        <f>C36-1</f>
        <v>0.1968164681946023</v>
      </c>
    </row>
    <row r="37" spans="1:7" ht="20.100000000000001" customHeight="1" x14ac:dyDescent="0.25">
      <c r="B37" s="5" t="s">
        <v>40</v>
      </c>
      <c r="C37" s="19">
        <f>C35/C18</f>
        <v>0.79787764546306816</v>
      </c>
      <c r="D37" s="17">
        <f>C37-1</f>
        <v>-0.20212235453693184</v>
      </c>
    </row>
    <row r="38" spans="1:7" ht="5.0999999999999996" customHeight="1" thickBot="1" x14ac:dyDescent="0.3">
      <c r="B38" s="5"/>
    </row>
    <row r="39" spans="1:7" ht="20.100000000000001" customHeight="1" thickTop="1" thickBot="1" x14ac:dyDescent="0.3">
      <c r="A39" s="11">
        <v>4</v>
      </c>
      <c r="B39" s="24" t="s">
        <v>41</v>
      </c>
      <c r="C39" s="24"/>
      <c r="D39" s="24"/>
      <c r="E39" s="24"/>
      <c r="F39" s="24"/>
      <c r="G39" s="25"/>
    </row>
    <row r="40" spans="1:7" ht="5.0999999999999996" customHeight="1" thickTop="1" x14ac:dyDescent="0.25">
      <c r="B40" s="5"/>
    </row>
    <row r="41" spans="1:7" ht="20.100000000000001" customHeight="1" x14ac:dyDescent="0.25">
      <c r="B41" s="5" t="s">
        <v>3</v>
      </c>
      <c r="C41" s="19">
        <f>C35/C6</f>
        <v>7.9787764546306823</v>
      </c>
    </row>
    <row r="42" spans="1:7" ht="20.100000000000001" customHeight="1" x14ac:dyDescent="0.25">
      <c r="B42" s="5" t="s">
        <v>3</v>
      </c>
      <c r="C42" s="15">
        <v>8</v>
      </c>
    </row>
    <row r="43" spans="1:7" ht="20.100000000000001" customHeight="1" x14ac:dyDescent="0.25">
      <c r="B43" s="5" t="s">
        <v>35</v>
      </c>
      <c r="C43" s="22">
        <f>C42*C6</f>
        <v>3600</v>
      </c>
      <c r="D43" s="1" t="s">
        <v>38</v>
      </c>
    </row>
    <row r="44" spans="1:7" ht="20.100000000000001" customHeight="1" x14ac:dyDescent="0.25">
      <c r="B44" s="5" t="s">
        <v>39</v>
      </c>
      <c r="C44" s="19">
        <f>C43/C25</f>
        <v>1.2</v>
      </c>
      <c r="D44" s="17">
        <f>C44-1</f>
        <v>0.19999999999999996</v>
      </c>
    </row>
    <row r="45" spans="1:7" ht="20.100000000000001" customHeight="1" x14ac:dyDescent="0.25">
      <c r="B45" s="5" t="s">
        <v>40</v>
      </c>
      <c r="C45" s="19">
        <f>C43/C18</f>
        <v>0.8</v>
      </c>
      <c r="D45" s="17">
        <f>C45-1</f>
        <v>-0.19999999999999996</v>
      </c>
    </row>
    <row r="46" spans="1:7" ht="5.0999999999999996" customHeight="1" thickBot="1" x14ac:dyDescent="0.3"/>
    <row r="47" spans="1:7" ht="20.100000000000001" customHeight="1" thickTop="1" thickBot="1" x14ac:dyDescent="0.3">
      <c r="A47" s="11">
        <v>5</v>
      </c>
      <c r="B47" s="24" t="s">
        <v>42</v>
      </c>
      <c r="C47" s="24"/>
      <c r="D47" s="24"/>
      <c r="E47" s="24"/>
      <c r="F47" s="24"/>
      <c r="G47" s="25"/>
    </row>
    <row r="48" spans="1:7" ht="5.0999999999999996" customHeight="1" thickTop="1" x14ac:dyDescent="0.25"/>
    <row r="49" spans="1:7" ht="20.100000000000001" customHeight="1" x14ac:dyDescent="0.25">
      <c r="B49" s="5" t="s">
        <v>44</v>
      </c>
      <c r="C49" s="19">
        <f>(1+((G49-25)*C12)/100)*C9</f>
        <v>44.108350000000002</v>
      </c>
      <c r="D49" s="1" t="s">
        <v>1</v>
      </c>
      <c r="F49" s="14" t="s">
        <v>43</v>
      </c>
      <c r="G49" s="15">
        <v>-10</v>
      </c>
    </row>
    <row r="50" spans="1:7" ht="20.100000000000001" customHeight="1" x14ac:dyDescent="0.25">
      <c r="B50" s="5" t="s">
        <v>46</v>
      </c>
      <c r="C50" s="19">
        <f>C21/C49</f>
        <v>13.602866577416748</v>
      </c>
      <c r="E50" s="22">
        <f>_xlfn.FLOOR.MATH(C50,1)</f>
        <v>13</v>
      </c>
    </row>
    <row r="51" spans="1:7" ht="5.0999999999999996" customHeight="1" x14ac:dyDescent="0.25"/>
    <row r="52" spans="1:7" ht="20.100000000000001" customHeight="1" x14ac:dyDescent="0.25">
      <c r="B52" s="5" t="s">
        <v>47</v>
      </c>
      <c r="C52" s="19">
        <f>(1+((G52-25)*C12)/100)*C7</f>
        <v>36.475320000000004</v>
      </c>
      <c r="D52" s="1" t="s">
        <v>1</v>
      </c>
      <c r="F52" s="14" t="s">
        <v>43</v>
      </c>
      <c r="G52" s="15">
        <v>70</v>
      </c>
    </row>
    <row r="53" spans="1:7" ht="20.100000000000001" customHeight="1" x14ac:dyDescent="0.25">
      <c r="B53" s="5" t="s">
        <v>45</v>
      </c>
      <c r="C53" s="19">
        <f>C19/C52</f>
        <v>2.4674218074029231</v>
      </c>
      <c r="E53" s="22">
        <f>_xlfn.CEILING.MATH(C53,1)</f>
        <v>3</v>
      </c>
    </row>
    <row r="54" spans="1:7" ht="5.0999999999999996" customHeight="1" x14ac:dyDescent="0.25"/>
    <row r="55" spans="1:7" ht="20.100000000000001" customHeight="1" x14ac:dyDescent="0.25">
      <c r="B55" s="5" t="s">
        <v>49</v>
      </c>
      <c r="C55" s="19">
        <f>C22/C8</f>
        <v>1.1003521126760565</v>
      </c>
      <c r="E55" s="22">
        <f>_xlfn.FLOOR.MATH(C55,1)</f>
        <v>1</v>
      </c>
    </row>
    <row r="56" spans="1:7" ht="5.0999999999999996" customHeight="1" thickBot="1" x14ac:dyDescent="0.3"/>
    <row r="57" spans="1:7" ht="20.100000000000001" customHeight="1" thickTop="1" thickBot="1" x14ac:dyDescent="0.3">
      <c r="A57" s="11">
        <v>6</v>
      </c>
      <c r="B57" s="24" t="s">
        <v>50</v>
      </c>
      <c r="C57" s="24"/>
      <c r="D57" s="24"/>
      <c r="E57" s="24"/>
      <c r="F57" s="24"/>
      <c r="G57" s="25"/>
    </row>
    <row r="58" spans="1:7" ht="5.0999999999999996" customHeight="1" thickTop="1" x14ac:dyDescent="0.25"/>
    <row r="59" spans="1:7" ht="20.100000000000001" customHeight="1" x14ac:dyDescent="0.25">
      <c r="B59" s="5" t="s">
        <v>46</v>
      </c>
      <c r="C59" s="20">
        <f>E50</f>
        <v>13</v>
      </c>
    </row>
    <row r="60" spans="1:7" ht="20.100000000000001" customHeight="1" x14ac:dyDescent="0.25">
      <c r="B60" s="5" t="s">
        <v>45</v>
      </c>
      <c r="C60" s="20">
        <f>E53</f>
        <v>3</v>
      </c>
    </row>
    <row r="61" spans="1:7" ht="20.100000000000001" customHeight="1" x14ac:dyDescent="0.25">
      <c r="B61" s="5" t="s">
        <v>49</v>
      </c>
      <c r="C61" s="20">
        <f>E55</f>
        <v>1</v>
      </c>
    </row>
    <row r="62" spans="1:7" ht="20.100000000000001" customHeight="1" x14ac:dyDescent="0.25">
      <c r="B62" s="5" t="s">
        <v>52</v>
      </c>
      <c r="C62" s="15">
        <v>8</v>
      </c>
    </row>
    <row r="63" spans="1:7" ht="20.100000000000001" customHeight="1" x14ac:dyDescent="0.25">
      <c r="B63" s="5" t="s">
        <v>48</v>
      </c>
      <c r="C63" s="15">
        <v>1</v>
      </c>
    </row>
    <row r="64" spans="1:7" ht="20.100000000000001" customHeight="1" x14ac:dyDescent="0.25">
      <c r="B64" s="5" t="s">
        <v>53</v>
      </c>
      <c r="C64" s="20">
        <f>C62*C63</f>
        <v>8</v>
      </c>
    </row>
    <row r="65" spans="1:7" ht="20.100000000000001" customHeight="1" x14ac:dyDescent="0.25">
      <c r="B65" s="5" t="s">
        <v>35</v>
      </c>
      <c r="C65" s="21">
        <f>C64*C6</f>
        <v>3600</v>
      </c>
      <c r="D65" s="1" t="s">
        <v>38</v>
      </c>
    </row>
    <row r="66" spans="1:7" ht="20.100000000000001" customHeight="1" x14ac:dyDescent="0.25">
      <c r="B66" s="5" t="s">
        <v>39</v>
      </c>
      <c r="C66" s="19">
        <f>C65/C25</f>
        <v>1.2</v>
      </c>
      <c r="D66" s="17">
        <f>C66-1</f>
        <v>0.19999999999999996</v>
      </c>
    </row>
    <row r="67" spans="1:7" ht="20.100000000000001" customHeight="1" x14ac:dyDescent="0.25">
      <c r="B67" s="5" t="s">
        <v>40</v>
      </c>
      <c r="C67" s="19">
        <f>C65/C18</f>
        <v>0.8</v>
      </c>
      <c r="D67" s="17">
        <f>C67-1</f>
        <v>-0.19999999999999996</v>
      </c>
    </row>
    <row r="68" spans="1:7" ht="20.100000000000001" customHeight="1" x14ac:dyDescent="0.25">
      <c r="B68" s="5" t="s">
        <v>55</v>
      </c>
      <c r="C68" s="19">
        <f>C62*C49</f>
        <v>352.86680000000001</v>
      </c>
      <c r="D68" s="1" t="s">
        <v>1</v>
      </c>
    </row>
    <row r="69" spans="1:7" ht="20.100000000000001" customHeight="1" x14ac:dyDescent="0.25">
      <c r="B69" s="5" t="s">
        <v>56</v>
      </c>
      <c r="C69" s="20">
        <f>C62*C9</f>
        <v>322.39999999999998</v>
      </c>
      <c r="D69" s="1" t="s">
        <v>1</v>
      </c>
    </row>
    <row r="70" spans="1:7" ht="20.100000000000001" customHeight="1" x14ac:dyDescent="0.25">
      <c r="B70" s="5" t="s">
        <v>57</v>
      </c>
      <c r="C70" s="20">
        <f>C62*C7</f>
        <v>332.16</v>
      </c>
      <c r="D70" s="1" t="s">
        <v>1</v>
      </c>
    </row>
    <row r="71" spans="1:7" ht="20.100000000000001" customHeight="1" x14ac:dyDescent="0.25">
      <c r="B71" s="5" t="s">
        <v>54</v>
      </c>
      <c r="C71" s="19">
        <f>C62*C52</f>
        <v>291.80256000000003</v>
      </c>
      <c r="D71" s="1" t="s">
        <v>1</v>
      </c>
    </row>
    <row r="72" spans="1:7" ht="20.100000000000001" customHeight="1" x14ac:dyDescent="0.25">
      <c r="B72" s="5" t="s">
        <v>58</v>
      </c>
      <c r="C72" s="20">
        <f>C10</f>
        <v>9.25</v>
      </c>
      <c r="D72" s="1" t="s">
        <v>2</v>
      </c>
    </row>
    <row r="73" spans="1:7" ht="20.100000000000001" customHeight="1" x14ac:dyDescent="0.25">
      <c r="B73" s="5" t="s">
        <v>60</v>
      </c>
      <c r="C73" s="20">
        <f>C8</f>
        <v>11.36</v>
      </c>
      <c r="D73" s="1" t="s">
        <v>2</v>
      </c>
    </row>
    <row r="74" spans="1:7" ht="20.100000000000001" customHeight="1" x14ac:dyDescent="0.25">
      <c r="B74" s="5" t="s">
        <v>62</v>
      </c>
      <c r="C74" s="20">
        <f>C63*C10</f>
        <v>9.25</v>
      </c>
      <c r="D74" s="1" t="s">
        <v>2</v>
      </c>
    </row>
    <row r="75" spans="1:7" ht="20.100000000000001" customHeight="1" x14ac:dyDescent="0.25">
      <c r="B75" s="5" t="s">
        <v>61</v>
      </c>
      <c r="C75" s="20">
        <f>C63*C8</f>
        <v>11.36</v>
      </c>
      <c r="D75" s="1" t="s">
        <v>2</v>
      </c>
    </row>
    <row r="76" spans="1:7" ht="5.0999999999999996" customHeight="1" thickBot="1" x14ac:dyDescent="0.3"/>
    <row r="77" spans="1:7" ht="20.100000000000001" customHeight="1" thickTop="1" thickBot="1" x14ac:dyDescent="0.3">
      <c r="A77" s="11">
        <v>6</v>
      </c>
      <c r="B77" s="24" t="s">
        <v>63</v>
      </c>
      <c r="C77" s="24"/>
      <c r="D77" s="24"/>
      <c r="E77" s="24"/>
      <c r="F77" s="24"/>
      <c r="G77" s="25"/>
    </row>
    <row r="78" spans="1:7" ht="5.0999999999999996" customHeight="1" thickTop="1" x14ac:dyDescent="0.25"/>
    <row r="79" spans="1:7" ht="20.100000000000001" customHeight="1" x14ac:dyDescent="0.25">
      <c r="B79" s="5" t="s">
        <v>35</v>
      </c>
      <c r="C79" s="21">
        <f>C65</f>
        <v>3600</v>
      </c>
      <c r="D79" s="1" t="s">
        <v>38</v>
      </c>
    </row>
    <row r="80" spans="1:7" ht="20.100000000000001" customHeight="1" x14ac:dyDescent="0.25">
      <c r="B80" s="5" t="s">
        <v>67</v>
      </c>
      <c r="C80" s="19">
        <f>C68</f>
        <v>352.86680000000001</v>
      </c>
      <c r="D80" s="2" t="s">
        <v>64</v>
      </c>
      <c r="E80" s="23">
        <f>C21</f>
        <v>600</v>
      </c>
      <c r="F80" s="2" t="str">
        <f>IF(C80&lt;E80,"OK","NOK!")</f>
        <v>OK</v>
      </c>
    </row>
    <row r="81" spans="2:6" ht="20.100000000000001" customHeight="1" x14ac:dyDescent="0.25">
      <c r="B81" s="5" t="s">
        <v>68</v>
      </c>
      <c r="C81" s="19">
        <f>C69</f>
        <v>322.39999999999998</v>
      </c>
      <c r="D81" s="2" t="s">
        <v>64</v>
      </c>
      <c r="E81" s="23">
        <f>C21</f>
        <v>600</v>
      </c>
      <c r="F81" s="2" t="str">
        <f>IF(C81&lt;E81,"OK","NOK!")</f>
        <v>OK</v>
      </c>
    </row>
    <row r="82" spans="2:6" ht="20.100000000000001" customHeight="1" x14ac:dyDescent="0.25">
      <c r="B82" s="5" t="s">
        <v>65</v>
      </c>
      <c r="C82" s="20">
        <f>C70</f>
        <v>332.16</v>
      </c>
      <c r="D82" s="2" t="s">
        <v>64</v>
      </c>
      <c r="E82" s="20">
        <f>C20</f>
        <v>560</v>
      </c>
      <c r="F82" s="2" t="str">
        <f t="shared" ref="F82" si="0">IF(C82&lt;E82,"OK","NOK!")</f>
        <v>OK</v>
      </c>
    </row>
    <row r="83" spans="2:6" ht="20.100000000000001" customHeight="1" x14ac:dyDescent="0.25">
      <c r="B83" s="5" t="s">
        <v>66</v>
      </c>
      <c r="C83" s="20">
        <f>C70</f>
        <v>332.16</v>
      </c>
      <c r="D83" s="2" t="s">
        <v>69</v>
      </c>
      <c r="E83" s="20">
        <f>C19</f>
        <v>90</v>
      </c>
      <c r="F83" s="2" t="str">
        <f>IF(C83&gt;E83,"OK","NOK!")</f>
        <v>OK</v>
      </c>
    </row>
    <row r="84" spans="2:6" ht="20.100000000000001" customHeight="1" x14ac:dyDescent="0.25">
      <c r="B84" s="5" t="s">
        <v>70</v>
      </c>
      <c r="C84" s="19">
        <f>C71</f>
        <v>291.80256000000003</v>
      </c>
      <c r="D84" s="2" t="s">
        <v>64</v>
      </c>
      <c r="E84" s="20">
        <f>C20</f>
        <v>560</v>
      </c>
      <c r="F84" s="2" t="str">
        <f t="shared" ref="F84" si="1">IF(C84&lt;E84,"OK","NOK!")</f>
        <v>OK</v>
      </c>
    </row>
    <row r="85" spans="2:6" ht="20.100000000000001" customHeight="1" x14ac:dyDescent="0.25">
      <c r="B85" s="5" t="s">
        <v>71</v>
      </c>
      <c r="C85" s="19">
        <f>C71</f>
        <v>291.80256000000003</v>
      </c>
      <c r="D85" s="2" t="s">
        <v>69</v>
      </c>
      <c r="E85" s="20">
        <f>C19</f>
        <v>90</v>
      </c>
      <c r="F85" s="2" t="str">
        <f>IF(C85&gt;E85,"OK","NOK!")</f>
        <v>OK</v>
      </c>
    </row>
    <row r="86" spans="2:6" ht="36" x14ac:dyDescent="0.25">
      <c r="B86" s="5" t="s">
        <v>72</v>
      </c>
      <c r="C86" s="20">
        <f>C73</f>
        <v>11.36</v>
      </c>
      <c r="D86" s="2" t="s">
        <v>64</v>
      </c>
      <c r="E86" s="20">
        <f>C22</f>
        <v>12.5</v>
      </c>
      <c r="F86" s="2" t="str">
        <f t="shared" ref="F86" si="2">IF(C86&lt;E86,"OK","NOK!")</f>
        <v>OK</v>
      </c>
    </row>
    <row r="87" spans="2:6" ht="5.0999999999999996" customHeight="1" x14ac:dyDescent="0.25"/>
  </sheetData>
  <mergeCells count="15">
    <mergeCell ref="B1:E1"/>
    <mergeCell ref="C5:G5"/>
    <mergeCell ref="E6:E10"/>
    <mergeCell ref="B15:G15"/>
    <mergeCell ref="C17:G17"/>
    <mergeCell ref="B19:B20"/>
    <mergeCell ref="D19:D20"/>
    <mergeCell ref="E18:E24"/>
    <mergeCell ref="E25:E29"/>
    <mergeCell ref="B3:G3"/>
    <mergeCell ref="B33:G33"/>
    <mergeCell ref="B39:G39"/>
    <mergeCell ref="B47:G47"/>
    <mergeCell ref="B57:G57"/>
    <mergeCell ref="B77:G77"/>
  </mergeCells>
  <printOptions horizontalCentered="1"/>
  <pageMargins left="0.31496062992125984" right="0.11811023622047245" top="0.55118110236220474" bottom="0.55118110236220474" header="0.31496062992125984" footer="0.31496062992125984"/>
  <pageSetup paperSize="9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Exercício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</dc:creator>
  <cp:lastModifiedBy>Marcio Ferreira</cp:lastModifiedBy>
  <cp:lastPrinted>2021-06-17T11:38:07Z</cp:lastPrinted>
  <dcterms:created xsi:type="dcterms:W3CDTF">2021-01-20T09:36:40Z</dcterms:created>
  <dcterms:modified xsi:type="dcterms:W3CDTF">2022-01-02T23:38:23Z</dcterms:modified>
</cp:coreProperties>
</file>